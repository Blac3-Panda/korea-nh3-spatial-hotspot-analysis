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yproject\데이터\농도\"/>
    </mc:Choice>
  </mc:AlternateContent>
  <xr:revisionPtr revIDLastSave="0" documentId="13_ncr:1_{8F53903D-6471-4605-9725-760CD2C2CB5B}" xr6:coauthVersionLast="47" xr6:coauthVersionMax="47" xr10:uidLastSave="{00000000-0000-0000-0000-000000000000}"/>
  <bookViews>
    <workbookView xWindow="28695" yWindow="0" windowWidth="26010" windowHeight="20985" xr2:uid="{14A78FFF-F05A-4DB1-B204-D61F8EEBFEF8}"/>
  </bookViews>
  <sheets>
    <sheet name="Sheet1" sheetId="1" r:id="rId1"/>
    <sheet name="2024.2국립환경과학원" sheetId="3" r:id="rId2"/>
    <sheet name="2024.12국립환경과학원"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H4" i="3"/>
  <c r="H8" i="3"/>
  <c r="H9" i="3"/>
  <c r="H11" i="3"/>
  <c r="H12" i="3"/>
  <c r="H16" i="3"/>
  <c r="H17" i="3"/>
  <c r="H18" i="3"/>
  <c r="H20" i="3"/>
  <c r="H21" i="3"/>
  <c r="H23" i="3"/>
  <c r="H24" i="3"/>
  <c r="H25" i="3"/>
  <c r="H27" i="3"/>
  <c r="H28" i="3"/>
  <c r="H29" i="3"/>
  <c r="H32" i="3"/>
  <c r="H33" i="3"/>
  <c r="H34" i="3"/>
  <c r="H37" i="3"/>
  <c r="H38" i="3"/>
  <c r="H40" i="3"/>
  <c r="H43" i="3"/>
  <c r="H44" i="3"/>
  <c r="H45" i="3"/>
  <c r="H48" i="3"/>
  <c r="H49" i="3"/>
  <c r="H50" i="3"/>
  <c r="H2" i="3"/>
  <c r="E3" i="3"/>
  <c r="E4" i="3"/>
  <c r="E5" i="3"/>
  <c r="E6" i="3"/>
  <c r="E12" i="3"/>
  <c r="E13" i="3"/>
  <c r="E16" i="3"/>
  <c r="E18" i="3"/>
  <c r="E19" i="3"/>
  <c r="E20" i="3"/>
  <c r="E24" i="3"/>
  <c r="E25" i="3"/>
  <c r="E26" i="3"/>
  <c r="E27" i="3"/>
  <c r="E28" i="3"/>
  <c r="E30" i="3"/>
  <c r="E33" i="3"/>
  <c r="E35" i="3"/>
  <c r="E36" i="3"/>
  <c r="E38" i="3"/>
  <c r="E39" i="3"/>
  <c r="E40" i="3"/>
  <c r="E44" i="3"/>
  <c r="E45" i="3"/>
  <c r="E46" i="3"/>
  <c r="E47" i="3"/>
  <c r="E48" i="3"/>
  <c r="E50" i="3"/>
  <c r="E54" i="3"/>
  <c r="E55" i="3"/>
  <c r="E56" i="3"/>
  <c r="E57" i="3"/>
  <c r="E2" i="3"/>
</calcChain>
</file>

<file path=xl/sharedStrings.xml><?xml version="1.0" encoding="utf-8"?>
<sst xmlns="http://schemas.openxmlformats.org/spreadsheetml/2006/main" count="1023" uniqueCount="561">
  <si>
    <t>충남공주</t>
    <phoneticPr fontId="2" type="noConversion"/>
  </si>
  <si>
    <t>Sung et al., 2020</t>
    <phoneticPr fontId="2" type="noConversion"/>
  </si>
  <si>
    <t>충남 태안</t>
    <phoneticPr fontId="2" type="noConversion"/>
  </si>
  <si>
    <t>전북 김제 (밭)</t>
    <phoneticPr fontId="2" type="noConversion"/>
  </si>
  <si>
    <t>Park et al., 2021</t>
    <phoneticPr fontId="2" type="noConversion"/>
  </si>
  <si>
    <t>전북 김제2 (축사)</t>
    <phoneticPr fontId="2" type="noConversion"/>
  </si>
  <si>
    <t>Kim et al., 2023</t>
    <phoneticPr fontId="2" type="noConversion"/>
  </si>
  <si>
    <t>전북 임실</t>
    <phoneticPr fontId="2" type="noConversion"/>
  </si>
  <si>
    <t>경북 영천</t>
    <phoneticPr fontId="2" type="noConversion"/>
  </si>
  <si>
    <t>경북 영덕</t>
    <phoneticPr fontId="2" type="noConversion"/>
  </si>
  <si>
    <t>경남 거제</t>
    <phoneticPr fontId="2" type="noConversion"/>
  </si>
  <si>
    <t>경남 거창</t>
    <phoneticPr fontId="2" type="noConversion"/>
  </si>
  <si>
    <t>강원 양구</t>
    <phoneticPr fontId="2" type="noConversion"/>
  </si>
  <si>
    <t>강원 고성</t>
    <phoneticPr fontId="2" type="noConversion"/>
  </si>
  <si>
    <t>충남 보령(축사)</t>
    <phoneticPr fontId="2" type="noConversion"/>
  </si>
  <si>
    <t>Jang et al., 2021</t>
    <phoneticPr fontId="2" type="noConversion"/>
  </si>
  <si>
    <t>충남 홍성 (축사)</t>
    <phoneticPr fontId="2" type="noConversion"/>
  </si>
  <si>
    <t>전북 정읍1 (축사)</t>
    <phoneticPr fontId="2" type="noConversion"/>
  </si>
  <si>
    <t>전북 정읍2 (축사)</t>
    <phoneticPr fontId="2" type="noConversion"/>
  </si>
  <si>
    <t>Oh et al., 2021</t>
    <phoneticPr fontId="2" type="noConversion"/>
  </si>
  <si>
    <t>전북 고창 (밭)</t>
    <phoneticPr fontId="2" type="noConversion"/>
  </si>
  <si>
    <t>Kim et al., 2021</t>
    <phoneticPr fontId="2" type="noConversion"/>
  </si>
  <si>
    <t>전북 부안 (밭)</t>
    <phoneticPr fontId="2" type="noConversion"/>
  </si>
  <si>
    <t>Hong et al., 2021</t>
    <phoneticPr fontId="2" type="noConversion"/>
  </si>
  <si>
    <t>전북 완주 (밭)</t>
    <phoneticPr fontId="2" type="noConversion"/>
  </si>
  <si>
    <t>경기 용인 (축사)</t>
    <phoneticPr fontId="2" type="noConversion"/>
  </si>
  <si>
    <t>Singh et al., 2021</t>
    <phoneticPr fontId="2" type="noConversion"/>
  </si>
  <si>
    <t>경기 이천 (축사)</t>
    <phoneticPr fontId="2" type="noConversion"/>
  </si>
  <si>
    <t>세종특별자치시 (밭)</t>
    <phoneticPr fontId="2" type="noConversion"/>
  </si>
  <si>
    <t>Yu et al., 2024</t>
    <phoneticPr fontId="2" type="noConversion"/>
  </si>
  <si>
    <t>세종특별자치시 (양계)</t>
    <phoneticPr fontId="2" type="noConversion"/>
  </si>
  <si>
    <t>충남 홍성 (우사)</t>
    <phoneticPr fontId="2" type="noConversion"/>
  </si>
  <si>
    <t>충북 청주(흥덕구) (논)</t>
    <phoneticPr fontId="2" type="noConversion"/>
  </si>
  <si>
    <t>강원 화천 (밭)</t>
    <phoneticPr fontId="2" type="noConversion"/>
  </si>
  <si>
    <t>강원 화천 (논)</t>
    <phoneticPr fontId="2" type="noConversion"/>
  </si>
  <si>
    <t>강원 홍천 (돈사)</t>
    <phoneticPr fontId="2" type="noConversion"/>
  </si>
  <si>
    <t>강원 횡성 (우사)</t>
    <phoneticPr fontId="2" type="noConversion"/>
  </si>
  <si>
    <t>경남 창녕 (우사)</t>
    <phoneticPr fontId="2" type="noConversion"/>
  </si>
  <si>
    <t>경북 청도 (밭)</t>
    <phoneticPr fontId="2" type="noConversion"/>
  </si>
  <si>
    <t>전북 장수 (밭)</t>
    <phoneticPr fontId="2" type="noConversion"/>
  </si>
  <si>
    <t>전북 부안 (우사)</t>
    <phoneticPr fontId="2" type="noConversion"/>
  </si>
  <si>
    <t>전북 익산 (논)</t>
    <phoneticPr fontId="2" type="noConversion"/>
  </si>
  <si>
    <t>전북 익산(축사)</t>
    <phoneticPr fontId="2" type="noConversion"/>
  </si>
  <si>
    <t>충남 서산</t>
    <phoneticPr fontId="2" type="noConversion"/>
  </si>
  <si>
    <t>Itahashi et al., 2023</t>
    <phoneticPr fontId="2" type="noConversion"/>
  </si>
  <si>
    <t>충남 괴산 (농경지)</t>
    <phoneticPr fontId="2" type="noConversion"/>
  </si>
  <si>
    <t>경북 상주</t>
    <phoneticPr fontId="2" type="noConversion"/>
  </si>
  <si>
    <t>밭</t>
    <phoneticPr fontId="2" type="noConversion"/>
  </si>
  <si>
    <t>축사</t>
  </si>
  <si>
    <t>논</t>
    <phoneticPr fontId="2" type="noConversion"/>
  </si>
  <si>
    <t>전북 전주 (완산)</t>
    <phoneticPr fontId="2" type="noConversion"/>
  </si>
  <si>
    <t>군산 새만금</t>
    <phoneticPr fontId="2" type="noConversion"/>
  </si>
  <si>
    <t>전북 진안</t>
    <phoneticPr fontId="2" type="noConversion"/>
  </si>
  <si>
    <t>전북 전주</t>
    <phoneticPr fontId="2" type="noConversion"/>
  </si>
  <si>
    <t>전북 군산</t>
    <phoneticPr fontId="2" type="noConversion"/>
  </si>
  <si>
    <t>전남 여수</t>
    <phoneticPr fontId="2" type="noConversion"/>
  </si>
  <si>
    <t>북구</t>
    <phoneticPr fontId="2" type="noConversion"/>
  </si>
  <si>
    <t>전북 익산</t>
    <phoneticPr fontId="2" type="noConversion"/>
  </si>
  <si>
    <t>청주 흥덕</t>
    <phoneticPr fontId="2" type="noConversion"/>
  </si>
  <si>
    <t>대전 중구</t>
    <phoneticPr fontId="2" type="noConversion"/>
  </si>
  <si>
    <t xml:space="preserve">대전 동구 </t>
    <phoneticPr fontId="2" type="noConversion"/>
  </si>
  <si>
    <t>충북 청주(상당구)</t>
    <phoneticPr fontId="2" type="noConversion"/>
  </si>
  <si>
    <t>충남 당진</t>
    <phoneticPr fontId="2" type="noConversion"/>
  </si>
  <si>
    <t>충남 천안 (동남구)</t>
    <phoneticPr fontId="2" type="noConversion"/>
  </si>
  <si>
    <t>서울 중구</t>
    <phoneticPr fontId="2" type="noConversion"/>
  </si>
  <si>
    <t>경기 수원 (권선구)</t>
    <phoneticPr fontId="2" type="noConversion"/>
  </si>
  <si>
    <t>인천 강화</t>
    <phoneticPr fontId="2" type="noConversion"/>
  </si>
  <si>
    <t>경기 안산 (단원구)</t>
    <phoneticPr fontId="2" type="noConversion"/>
  </si>
  <si>
    <t>경기 의왕</t>
    <phoneticPr fontId="2" type="noConversion"/>
  </si>
  <si>
    <t>서울 광진구</t>
    <phoneticPr fontId="2" type="noConversion"/>
  </si>
  <si>
    <t>경기 포천</t>
    <phoneticPr fontId="2" type="noConversion"/>
  </si>
  <si>
    <t>서울 은평구</t>
    <phoneticPr fontId="2" type="noConversion"/>
  </si>
  <si>
    <t>경기 남양주</t>
    <phoneticPr fontId="2" type="noConversion"/>
  </si>
  <si>
    <t>서울 노원구</t>
    <phoneticPr fontId="2" type="noConversion"/>
  </si>
  <si>
    <t>경기 수원 (팔달구)</t>
    <phoneticPr fontId="2" type="noConversion"/>
  </si>
  <si>
    <t>경기 용인 (기흥구)</t>
    <phoneticPr fontId="2" type="noConversion"/>
  </si>
  <si>
    <t>서울 종로구</t>
    <phoneticPr fontId="2" type="noConversion"/>
  </si>
  <si>
    <t>서울 강서</t>
    <phoneticPr fontId="2" type="noConversion"/>
  </si>
  <si>
    <t>서울 종로 (광화문)</t>
    <phoneticPr fontId="2" type="noConversion"/>
  </si>
  <si>
    <t>서울 송파구 복정역</t>
    <phoneticPr fontId="2" type="noConversion"/>
  </si>
  <si>
    <t>경기 안성시</t>
    <phoneticPr fontId="2" type="noConversion"/>
  </si>
  <si>
    <t>경기 화성</t>
    <phoneticPr fontId="2" type="noConversion"/>
  </si>
  <si>
    <t>경기 의정부</t>
    <phoneticPr fontId="2" type="noConversion"/>
  </si>
  <si>
    <t>경기 안성</t>
    <phoneticPr fontId="2" type="noConversion"/>
  </si>
  <si>
    <t>강원 원주</t>
    <phoneticPr fontId="2" type="noConversion"/>
  </si>
  <si>
    <t>강원 춘천</t>
    <phoneticPr fontId="2" type="noConversion"/>
  </si>
  <si>
    <t>강원 강릉</t>
    <phoneticPr fontId="2" type="noConversion"/>
  </si>
  <si>
    <t>강원 춘천(강원대)</t>
    <phoneticPr fontId="2" type="noConversion"/>
  </si>
  <si>
    <t>강원 홍천</t>
    <phoneticPr fontId="2" type="noConversion"/>
  </si>
  <si>
    <t>강원 정선</t>
    <phoneticPr fontId="2" type="noConversion"/>
  </si>
  <si>
    <t>경남 창원 (의창)</t>
    <phoneticPr fontId="2" type="noConversion"/>
  </si>
  <si>
    <t>경북 김천</t>
    <phoneticPr fontId="2" type="noConversion"/>
  </si>
  <si>
    <t>경북 포항 (남구)</t>
    <phoneticPr fontId="2" type="noConversion"/>
  </si>
  <si>
    <t>경북 안동</t>
    <phoneticPr fontId="2" type="noConversion"/>
  </si>
  <si>
    <t>부산 북구</t>
    <phoneticPr fontId="2" type="noConversion"/>
  </si>
  <si>
    <t>부산 연제구</t>
    <phoneticPr fontId="2" type="noConversion"/>
  </si>
  <si>
    <t>대구 수성구</t>
    <phoneticPr fontId="2" type="noConversion"/>
  </si>
  <si>
    <t>부산 강서</t>
    <phoneticPr fontId="2" type="noConversion"/>
  </si>
  <si>
    <t>대구 동구</t>
    <phoneticPr fontId="2" type="noConversion"/>
  </si>
  <si>
    <t xml:space="preserve">경북 의성 </t>
    <phoneticPr fontId="2" type="noConversion"/>
  </si>
  <si>
    <t>경북 구미</t>
    <phoneticPr fontId="2" type="noConversion"/>
  </si>
  <si>
    <t>경북 경주</t>
    <phoneticPr fontId="2" type="noConversion"/>
  </si>
  <si>
    <t>울산 남구</t>
    <phoneticPr fontId="2" type="noConversion"/>
  </si>
  <si>
    <t>경남 김해</t>
    <phoneticPr fontId="2" type="noConversion"/>
  </si>
  <si>
    <t>울산 중구</t>
    <phoneticPr fontId="2" type="noConversion"/>
  </si>
  <si>
    <t>전남 목포</t>
    <phoneticPr fontId="2" type="noConversion"/>
  </si>
  <si>
    <t>Song et al., 2020</t>
    <phoneticPr fontId="2" type="noConversion"/>
  </si>
  <si>
    <t>전남 순천</t>
    <phoneticPr fontId="2" type="noConversion"/>
  </si>
  <si>
    <t>광주 서구</t>
    <phoneticPr fontId="2" type="noConversion"/>
  </si>
  <si>
    <t>전남 광양</t>
    <phoneticPr fontId="2" type="noConversion"/>
  </si>
  <si>
    <t>Park et al., 2023</t>
    <phoneticPr fontId="2" type="noConversion"/>
  </si>
  <si>
    <t>광주 북구</t>
    <phoneticPr fontId="2" type="noConversion"/>
  </si>
  <si>
    <t>전북 전주 (덕진구)</t>
    <phoneticPr fontId="2" type="noConversion"/>
  </si>
  <si>
    <t xml:space="preserve">전남 목포 </t>
    <phoneticPr fontId="2" type="noConversion"/>
  </si>
  <si>
    <t>Shon et al., 2013</t>
    <phoneticPr fontId="2" type="noConversion"/>
  </si>
  <si>
    <t>Phan et al., 2013</t>
    <phoneticPr fontId="2" type="noConversion"/>
  </si>
  <si>
    <t>서울기술연구원, 2021</t>
    <phoneticPr fontId="2" type="noConversion"/>
  </si>
  <si>
    <t>용인 외대</t>
    <phoneticPr fontId="2" type="noConversion"/>
  </si>
  <si>
    <t>제주</t>
    <phoneticPr fontId="2" type="noConversion"/>
  </si>
  <si>
    <t>인천 백령</t>
    <phoneticPr fontId="2" type="noConversion"/>
  </si>
  <si>
    <t>Park et al., 2021</t>
  </si>
  <si>
    <t>Singh et al., 2021</t>
  </si>
  <si>
    <t>주거(아파트)</t>
  </si>
  <si>
    <t>경기 남양주시 미금로 36-11</t>
  </si>
  <si>
    <t>경기도</t>
    <phoneticPr fontId="2" type="noConversion"/>
  </si>
  <si>
    <t>남양주시</t>
    <phoneticPr fontId="2" type="noConversion"/>
  </si>
  <si>
    <t>산단</t>
  </si>
  <si>
    <t>경기 의정부시 용현동 541</t>
  </si>
  <si>
    <t>의정부시</t>
    <phoneticPr fontId="2" type="noConversion"/>
  </si>
  <si>
    <t xml:space="preserve">경기 포천시 군내면 용정리 493 </t>
    <phoneticPr fontId="2" type="noConversion"/>
  </si>
  <si>
    <t>포천시</t>
    <phoneticPr fontId="2" type="noConversion"/>
  </si>
  <si>
    <t>대학교(Duplication)</t>
  </si>
  <si>
    <t xml:space="preserve">서울특별시 노원구 공릉로 232 </t>
  </si>
  <si>
    <t>서울특별시</t>
    <phoneticPr fontId="2" type="noConversion"/>
  </si>
  <si>
    <t xml:space="preserve">경기 수원시 장안구 만석로 29 </t>
  </si>
  <si>
    <t>수원시 장안구</t>
    <phoneticPr fontId="2" type="noConversion"/>
  </si>
  <si>
    <t>주거(도로변)</t>
  </si>
  <si>
    <t xml:space="preserve">경기 의왕시 왕곡동 379 </t>
  </si>
  <si>
    <t>의왕시</t>
    <phoneticPr fontId="2" type="noConversion"/>
  </si>
  <si>
    <t xml:space="preserve">경기 용인시 기흥구 동백동 678 </t>
  </si>
  <si>
    <t>용인시 기흥구</t>
    <phoneticPr fontId="2" type="noConversion"/>
  </si>
  <si>
    <t xml:space="preserve">경기 안성시 대덕면 소내리 132-22 </t>
  </si>
  <si>
    <t>안성시</t>
    <phoneticPr fontId="2" type="noConversion"/>
  </si>
  <si>
    <t>경기 화성시 향남읍 제약공단 2길</t>
  </si>
  <si>
    <t>화성시</t>
    <phoneticPr fontId="2" type="noConversion"/>
  </si>
  <si>
    <t>농업(밭)</t>
  </si>
  <si>
    <t xml:space="preserve">세종특별시 장군면 태산리 311 </t>
  </si>
  <si>
    <t>세종특별자치시</t>
    <phoneticPr fontId="2" type="noConversion"/>
  </si>
  <si>
    <t>세종시</t>
    <phoneticPr fontId="2" type="noConversion"/>
  </si>
  <si>
    <t>축사(계사)</t>
  </si>
  <si>
    <t xml:space="preserve">충남 홍성군 홍북읍 산수리 15-1 </t>
  </si>
  <si>
    <t>충청남도</t>
    <phoneticPr fontId="2" type="noConversion"/>
  </si>
  <si>
    <t>홍성군</t>
    <phoneticPr fontId="2" type="noConversion"/>
  </si>
  <si>
    <t xml:space="preserve">충남 당진시 부곡리 569-4 </t>
  </si>
  <si>
    <t>당진시</t>
    <phoneticPr fontId="2" type="noConversion"/>
  </si>
  <si>
    <t>축사(우사)</t>
  </si>
  <si>
    <t xml:space="preserve">충남 천안시 동남구 목천읍 도장리 321 </t>
  </si>
  <si>
    <t>천안시 동남구</t>
    <phoneticPr fontId="2" type="noConversion"/>
  </si>
  <si>
    <t>농업</t>
  </si>
  <si>
    <t xml:space="preserve">충북 청주시 흥덕구 강내면 청주역로 71 </t>
  </si>
  <si>
    <t>충청북도</t>
    <phoneticPr fontId="2" type="noConversion"/>
  </si>
  <si>
    <t>청주시 흥덕구</t>
    <phoneticPr fontId="2" type="noConversion"/>
  </si>
  <si>
    <t xml:space="preserve">대전광역시 동구 대학로 62 </t>
  </si>
  <si>
    <t>대전광역시</t>
    <phoneticPr fontId="2" type="noConversion"/>
  </si>
  <si>
    <t>동구</t>
    <phoneticPr fontId="2" type="noConversion"/>
  </si>
  <si>
    <t>배경</t>
  </si>
  <si>
    <t xml:space="preserve">충북 청주시 상당구 문의면 대청호반로 206 </t>
  </si>
  <si>
    <t xml:space="preserve">강원 화천군 간동면 간척리 1156 </t>
  </si>
  <si>
    <t>강원도</t>
    <phoneticPr fontId="2" type="noConversion"/>
  </si>
  <si>
    <t>화천군</t>
    <phoneticPr fontId="2" type="noConversion"/>
  </si>
  <si>
    <t>농업(논)</t>
  </si>
  <si>
    <t>양구군</t>
    <phoneticPr fontId="2" type="noConversion"/>
  </si>
  <si>
    <t>축사(돈사)</t>
  </si>
  <si>
    <t xml:space="preserve">강원 홍천군 화촌면 송정리 485-4 </t>
  </si>
  <si>
    <t>홍천군</t>
    <phoneticPr fontId="2" type="noConversion"/>
  </si>
  <si>
    <t xml:space="preserve">강원 횡성군 묵계리 9-3 </t>
  </si>
  <si>
    <t>횡성군</t>
    <phoneticPr fontId="2" type="noConversion"/>
  </si>
  <si>
    <t xml:space="preserve">강원 횡성군 우천면 문암리 172-1 </t>
  </si>
  <si>
    <t xml:space="preserve">강원 원주시 태장동 1369 </t>
  </si>
  <si>
    <t>원주시</t>
    <phoneticPr fontId="2" type="noConversion"/>
  </si>
  <si>
    <t xml:space="preserve">강원 춘천시 동면 장학길 48 </t>
  </si>
  <si>
    <t>춘천시</t>
    <phoneticPr fontId="2" type="noConversion"/>
  </si>
  <si>
    <t xml:space="preserve">강원 홍천군 연봉리 101-26 </t>
  </si>
  <si>
    <t xml:space="preserve">강원 양구군 양구읍 수인리 432-4 </t>
  </si>
  <si>
    <t>항만</t>
  </si>
  <si>
    <t xml:space="preserve">부산시 강서구 성북동 산309 </t>
  </si>
  <si>
    <t xml:space="preserve">울산광역시 남구 남구 장생포로 83 </t>
  </si>
  <si>
    <t>울산광역시</t>
    <phoneticPr fontId="2" type="noConversion"/>
  </si>
  <si>
    <t>남구</t>
    <phoneticPr fontId="2" type="noConversion"/>
  </si>
  <si>
    <t xml:space="preserve">대구광역시 동구 안심로 16길 45 </t>
  </si>
  <si>
    <t>대구광역시</t>
    <phoneticPr fontId="2" type="noConversion"/>
  </si>
  <si>
    <t xml:space="preserve">경남 청도군 매전면 덕산2길 60 </t>
  </si>
  <si>
    <t>경상북도</t>
    <phoneticPr fontId="2" type="noConversion"/>
  </si>
  <si>
    <t>청도군</t>
    <phoneticPr fontId="2" type="noConversion"/>
  </si>
  <si>
    <t xml:space="preserve">경남 밀양시 상남면 예림리 740-20 </t>
  </si>
  <si>
    <t>경상남도</t>
    <phoneticPr fontId="2" type="noConversion"/>
  </si>
  <si>
    <t>밀양시</t>
    <phoneticPr fontId="2" type="noConversion"/>
  </si>
  <si>
    <t xml:space="preserve">경남 창원시 성산구 중앙대로 151 </t>
  </si>
  <si>
    <t>창원시 성산구</t>
    <phoneticPr fontId="2" type="noConversion"/>
  </si>
  <si>
    <t xml:space="preserve">경남 창원시 성산구 웅남동 61-79 </t>
  </si>
  <si>
    <t xml:space="preserve">경남 김해시 인제로 197 </t>
  </si>
  <si>
    <t>김해시</t>
    <phoneticPr fontId="2" type="noConversion"/>
  </si>
  <si>
    <t xml:space="preserve">전북 장수군 장수읍 개정리 481 </t>
  </si>
  <si>
    <t>전라북도</t>
    <phoneticPr fontId="2" type="noConversion"/>
  </si>
  <si>
    <t>장수군</t>
  </si>
  <si>
    <t xml:space="preserve">전북 남원시 산동면 부절리 2394-7 </t>
  </si>
  <si>
    <t>남원시</t>
  </si>
  <si>
    <t xml:space="preserve">전북 고창군 고수면 봉산리 40-8 </t>
  </si>
  <si>
    <t>고창군</t>
  </si>
  <si>
    <t xml:space="preserve">전북 고창군 성내면 월산리 643 </t>
  </si>
  <si>
    <t>전북 정읍시 소성면 고교리 255-3</t>
  </si>
  <si>
    <t>정읍시</t>
  </si>
  <si>
    <t xml:space="preserve">전북 부안군 백산면 신평리 490-1 </t>
  </si>
  <si>
    <t>부안군</t>
  </si>
  <si>
    <t xml:space="preserve">전북 군산시 소룡동 228-2 </t>
  </si>
  <si>
    <t>군산시</t>
  </si>
  <si>
    <t xml:space="preserve">전북 익산시 익산대로 514 </t>
  </si>
  <si>
    <t>익산시</t>
  </si>
  <si>
    <t xml:space="preserve">전라남도 무안군 청계면 구로리 715-20 </t>
  </si>
  <si>
    <t>항만</t>
    <phoneticPr fontId="2" type="noConversion"/>
  </si>
  <si>
    <t xml:space="preserve">전라남도 무안군 청계면 영산로 1666 </t>
  </si>
  <si>
    <t>전라남도</t>
    <phoneticPr fontId="2" type="noConversion"/>
  </si>
  <si>
    <t>무안군</t>
    <phoneticPr fontId="2" type="noConversion"/>
  </si>
  <si>
    <t xml:space="preserve">전북 진안군 진안읍 단양리 680-2 </t>
  </si>
  <si>
    <t>경기도 평택</t>
    <phoneticPr fontId="2" type="noConversion"/>
  </si>
  <si>
    <t>평택시</t>
    <phoneticPr fontId="2" type="noConversion"/>
  </si>
  <si>
    <t>경기도보건환경연구원 (Yu et al., 2024)</t>
    <phoneticPr fontId="2" type="noConversion"/>
  </si>
  <si>
    <t>경기도 김포</t>
    <phoneticPr fontId="2" type="noConversion"/>
  </si>
  <si>
    <t>김포시</t>
    <phoneticPr fontId="2" type="noConversion"/>
  </si>
  <si>
    <t>부산 장림동</t>
    <phoneticPr fontId="2" type="noConversion"/>
  </si>
  <si>
    <t>부산광역시</t>
  </si>
  <si>
    <t>사하구</t>
  </si>
  <si>
    <t>부산광역시 보건환경정보 공개시스템 (Yu et al., 2024)</t>
    <phoneticPr fontId="2" type="noConversion"/>
  </si>
  <si>
    <t>서산 KCC대죽공장입구</t>
    <phoneticPr fontId="2" type="noConversion"/>
  </si>
  <si>
    <t>충청남도</t>
  </si>
  <si>
    <t>서산시</t>
  </si>
  <si>
    <t>서산시 악취관리시스템 (Yu et al., 2024)</t>
    <phoneticPr fontId="2" type="noConversion"/>
  </si>
  <si>
    <t>서산 KCC대죽공장 부지경계</t>
    <phoneticPr fontId="2" type="noConversion"/>
  </si>
  <si>
    <t>서산 현대오일뱅크 사택</t>
    <phoneticPr fontId="2" type="noConversion"/>
  </si>
  <si>
    <t>서산 한농화성2공장 주변</t>
    <phoneticPr fontId="2" type="noConversion"/>
  </si>
  <si>
    <t>서산 석유공사부두초소</t>
    <phoneticPr fontId="2" type="noConversion"/>
  </si>
  <si>
    <t>청주 북이1(진주산업)</t>
    <phoneticPr fontId="2" type="noConversion"/>
  </si>
  <si>
    <t>충청북도</t>
  </si>
  <si>
    <t>청주시 청원구</t>
  </si>
  <si>
    <t>청주시 무인악취측정 (Yu et al., 2024)</t>
    <phoneticPr fontId="2" type="noConversion"/>
  </si>
  <si>
    <t>청주 북이2(우진환경)</t>
    <phoneticPr fontId="2" type="noConversion"/>
  </si>
  <si>
    <t>청주 오창1(태실)</t>
    <phoneticPr fontId="2" type="noConversion"/>
  </si>
  <si>
    <t>청주 오창2(미래나노택)</t>
    <phoneticPr fontId="2" type="noConversion"/>
  </si>
  <si>
    <t>청주시 흥덕구</t>
  </si>
  <si>
    <t>청주 오창3(SMR)</t>
    <phoneticPr fontId="2" type="noConversion"/>
  </si>
  <si>
    <t>청주 오창4(JSR)</t>
    <phoneticPr fontId="2" type="noConversion"/>
  </si>
  <si>
    <t>청주 오창5(한라스텍폴)</t>
    <phoneticPr fontId="2" type="noConversion"/>
  </si>
  <si>
    <t>청주 오창6(록비원)</t>
    <phoneticPr fontId="2" type="noConversion"/>
  </si>
  <si>
    <t>청주 청주1(현대백화점)</t>
    <phoneticPr fontId="2" type="noConversion"/>
  </si>
  <si>
    <t>청주 청주2(금호어울림2단지후문)</t>
    <phoneticPr fontId="2" type="noConversion"/>
  </si>
  <si>
    <t>청주 청주3(도축장)</t>
    <phoneticPr fontId="2" type="noConversion"/>
  </si>
  <si>
    <t>청주 청주산단(네슬레)</t>
    <phoneticPr fontId="2" type="noConversion"/>
  </si>
  <si>
    <t>청주 청주산단(농협사료)</t>
    <phoneticPr fontId="2" type="noConversion"/>
  </si>
  <si>
    <t>청주 청주산단(오리온)</t>
    <phoneticPr fontId="2" type="noConversion"/>
  </si>
  <si>
    <t>청주 청주산단(일동제약)</t>
    <phoneticPr fontId="2" type="noConversion"/>
  </si>
  <si>
    <t>청주 청주산단(조광피혁-남동)</t>
    <phoneticPr fontId="2" type="noConversion"/>
  </si>
  <si>
    <t>청주 청주산단(조광피혁-북서)</t>
    <phoneticPr fontId="2" type="noConversion"/>
  </si>
  <si>
    <t>화성 화성시 새솔동</t>
    <phoneticPr fontId="2" type="noConversion"/>
  </si>
  <si>
    <t>경기도</t>
  </si>
  <si>
    <t>화성시</t>
  </si>
  <si>
    <t>화성시 악취 센서 모니터링 (Yu et al., 2024)</t>
    <phoneticPr fontId="2" type="noConversion"/>
  </si>
  <si>
    <t>서울 송파구 올림픽공원</t>
    <phoneticPr fontId="2" type="noConversion"/>
  </si>
  <si>
    <t>송파구</t>
    <phoneticPr fontId="2" type="noConversion"/>
  </si>
  <si>
    <t>대기질 국제공동 조사 연구 (SIJAQ)</t>
    <phoneticPr fontId="2" type="noConversion"/>
  </si>
  <si>
    <t>수도권 대기환경연구소</t>
    <phoneticPr fontId="2" type="noConversion"/>
  </si>
  <si>
    <t>서울특별시</t>
  </si>
  <si>
    <t>은평구</t>
  </si>
  <si>
    <t>중부권 대기환경연구소</t>
    <phoneticPr fontId="2" type="noConversion"/>
  </si>
  <si>
    <t>중구</t>
    <phoneticPr fontId="2" type="noConversion"/>
  </si>
  <si>
    <t>호남권 대기환경연구소</t>
    <phoneticPr fontId="2" type="noConversion"/>
  </si>
  <si>
    <t>광주광역시</t>
    <phoneticPr fontId="2" type="noConversion"/>
  </si>
  <si>
    <t>영남권 대기환경연구소</t>
    <phoneticPr fontId="2" type="noConversion"/>
  </si>
  <si>
    <t>과수</t>
    <phoneticPr fontId="2" type="noConversion"/>
  </si>
  <si>
    <t>장수군 장수읍 와동길 56</t>
  </si>
  <si>
    <t>전라북도</t>
  </si>
  <si>
    <t>주요농업지역암모니아등대기질모니터링체계구축및평가</t>
  </si>
  <si>
    <t>시설</t>
    <phoneticPr fontId="2" type="noConversion"/>
  </si>
  <si>
    <t>전북 완주, 삼례읍 삼례리 65-10</t>
  </si>
  <si>
    <t>완주군</t>
  </si>
  <si>
    <t>정읍, 감곡면 용곽리 1470-16</t>
  </si>
  <si>
    <t>고창, 대산면 칠거리로 70 (고창기상대표기상관측소)</t>
  </si>
  <si>
    <t>양돈</t>
    <phoneticPr fontId="2" type="noConversion"/>
  </si>
  <si>
    <t>보령</t>
    <phoneticPr fontId="2" type="noConversion"/>
  </si>
  <si>
    <t>보령시</t>
  </si>
  <si>
    <t>주요양돈지역대기질장기모니터링및한우산란계의미세먼지발생특성연구</t>
  </si>
  <si>
    <t>홍성</t>
    <phoneticPr fontId="2" type="noConversion"/>
  </si>
  <si>
    <t>홍성군</t>
  </si>
  <si>
    <t>농업지역</t>
    <phoneticPr fontId="2" type="noConversion"/>
  </si>
  <si>
    <t>부안군 계화면 국립식량과학원 계화시험지</t>
    <phoneticPr fontId="2" type="noConversion"/>
  </si>
  <si>
    <t>새만금 간척지 미세먼지 발생 특성 구명 및 모니터링 체계 구축</t>
  </si>
  <si>
    <t>전북대학교</t>
    <phoneticPr fontId="2" type="noConversion"/>
  </si>
  <si>
    <t>전라북도 전주시 덕진구 금암동 663</t>
  </si>
  <si>
    <t>전주시 덕진구</t>
  </si>
  <si>
    <t>암모니아 배출특성별 농도분포 파악 및 실시간 관측자료 정도관리 방안 마련1</t>
    <phoneticPr fontId="2" type="noConversion"/>
  </si>
  <si>
    <t>산업단지</t>
    <phoneticPr fontId="2" type="noConversion"/>
  </si>
  <si>
    <t>전라북도 전주시 덕진구 팔복동 3가 41</t>
    <phoneticPr fontId="2" type="noConversion"/>
  </si>
  <si>
    <t>주거단지</t>
    <phoneticPr fontId="2" type="noConversion"/>
  </si>
  <si>
    <t>전라북도 완주군 이서면 갈산리 650</t>
  </si>
  <si>
    <t>전주시 완산구</t>
  </si>
  <si>
    <t>축산마을1</t>
    <phoneticPr fontId="2" type="noConversion"/>
  </si>
  <si>
    <t>전라북도 정읍시 옹동면 오성리 1400-16</t>
    <phoneticPr fontId="2" type="noConversion"/>
  </si>
  <si>
    <t>양돈농가 부지경계</t>
    <phoneticPr fontId="2" type="noConversion"/>
  </si>
  <si>
    <t>전라북도 정읍시 옹동면 오성리 산95</t>
  </si>
  <si>
    <t>축산마을2</t>
    <phoneticPr fontId="2" type="noConversion"/>
  </si>
  <si>
    <t>전라북도 정읍시 옹동면 오성리 1812</t>
  </si>
  <si>
    <t>농경지 1</t>
    <phoneticPr fontId="2" type="noConversion"/>
  </si>
  <si>
    <t>전라북도 김제시 봉남면 내광리 1057</t>
  </si>
  <si>
    <t>김제시</t>
  </si>
  <si>
    <t>농경지 2</t>
    <phoneticPr fontId="2" type="noConversion"/>
  </si>
  <si>
    <t>전라북도 김제시 서정동 1417</t>
  </si>
  <si>
    <t>농경지 3</t>
    <phoneticPr fontId="2" type="noConversion"/>
  </si>
  <si>
    <t>전라북도 김제시 서정동 1174</t>
  </si>
  <si>
    <t>익산제3일반산업단지</t>
  </si>
  <si>
    <t>전북 익산시 삼기면</t>
  </si>
  <si>
    <t>암모니아 배출특성별 농도분포 파악 및 실시간 관측자료 정도관리 방안 마련2</t>
    <phoneticPr fontId="2" type="noConversion"/>
  </si>
  <si>
    <t>완주일반산업단지</t>
  </si>
  <si>
    <t>전북 완주군 봉동읍</t>
  </si>
  <si>
    <t>군산산업단지</t>
  </si>
  <si>
    <t>전북 군산시 소룡동</t>
  </si>
  <si>
    <t>정읍(논)</t>
  </si>
  <si>
    <t>전북 정읍시 감곡면 용곽리 1470-16</t>
  </si>
  <si>
    <t>완주(시설)</t>
  </si>
  <si>
    <t>논산(밭)</t>
  </si>
  <si>
    <t>충남 논산시 부적면 신교리 666-2</t>
  </si>
  <si>
    <t>논산시</t>
  </si>
  <si>
    <t>우농가</t>
  </si>
  <si>
    <t>충남 논산시 은진면 시묘리</t>
  </si>
  <si>
    <t>충남 부여군 석성면 종북로 180</t>
  </si>
  <si>
    <t>부여군</t>
  </si>
  <si>
    <t>양돈농가</t>
  </si>
  <si>
    <t>충남 논산시 연무읍 마봉로 224</t>
  </si>
  <si>
    <t>전북권 대기환경연구소</t>
  </si>
  <si>
    <t>전북 익산시 모현동 2가 671-1번지</t>
  </si>
  <si>
    <t>충청권 대기환경연구소</t>
  </si>
  <si>
    <t>충남 서산시 수석1길 124-1</t>
  </si>
  <si>
    <t>BR</t>
    <phoneticPr fontId="2" type="noConversion"/>
  </si>
  <si>
    <t>HS</t>
    <phoneticPr fontId="2" type="noConversion"/>
  </si>
  <si>
    <t>R1</t>
    <phoneticPr fontId="2" type="noConversion"/>
  </si>
  <si>
    <t>R2</t>
    <phoneticPr fontId="2" type="noConversion"/>
  </si>
  <si>
    <t>R3</t>
    <phoneticPr fontId="2" type="noConversion"/>
  </si>
  <si>
    <t>U1</t>
    <phoneticPr fontId="2" type="noConversion"/>
  </si>
  <si>
    <t>고창군 대산면 칠거리로 70</t>
  </si>
  <si>
    <t>지역</t>
    <phoneticPr fontId="2" type="noConversion"/>
  </si>
  <si>
    <t>주소</t>
    <phoneticPr fontId="2" type="noConversion"/>
  </si>
  <si>
    <t>위도</t>
    <phoneticPr fontId="2" type="noConversion"/>
  </si>
  <si>
    <t>경도</t>
    <phoneticPr fontId="2" type="noConversion"/>
  </si>
  <si>
    <t>강원 양구군 국토정중앙면 심포리</t>
    <phoneticPr fontId="2" type="noConversion"/>
  </si>
  <si>
    <t>경북 경주시 건천읍 송선리 산 183-1</t>
    <phoneticPr fontId="2" type="noConversion"/>
  </si>
  <si>
    <t>진안군</t>
    <phoneticPr fontId="2" type="noConversion"/>
  </si>
  <si>
    <t>서울시 영등포구 당산로 123</t>
    <phoneticPr fontId="2" type="noConversion"/>
  </si>
  <si>
    <t>서울시 중랑구 용마산로 369</t>
    <phoneticPr fontId="2" type="noConversion"/>
  </si>
  <si>
    <t>서울시 종로구 종로35가길</t>
    <phoneticPr fontId="2" type="noConversion"/>
  </si>
  <si>
    <t>서울시 관악구 신림동길 14</t>
    <phoneticPr fontId="2" type="noConversion"/>
  </si>
  <si>
    <t>서울시 강서구 강서구33가길 17</t>
    <phoneticPr fontId="2" type="noConversion"/>
  </si>
  <si>
    <t>서울시 강남구 학동로 426</t>
    <phoneticPr fontId="2" type="noConversion"/>
  </si>
  <si>
    <t>서울시 강동구 구천면로42길 59</t>
    <phoneticPr fontId="2" type="noConversion"/>
  </si>
  <si>
    <t>서울시 강북구 삼양로 139길 49</t>
    <phoneticPr fontId="2" type="noConversion"/>
  </si>
  <si>
    <t>경기도 안산시 강촌로</t>
    <phoneticPr fontId="2" type="noConversion"/>
  </si>
  <si>
    <t>인천광역시 컨벤시아대로 165</t>
    <phoneticPr fontId="2" type="noConversion"/>
  </si>
  <si>
    <t>경기도 용인시 양지촌로 78</t>
    <phoneticPr fontId="2" type="noConversion"/>
  </si>
  <si>
    <t>경기로 용인시 초부리 4</t>
    <phoneticPr fontId="2" type="noConversion"/>
  </si>
  <si>
    <t>경기도 화성시 자청로61번길 72</t>
    <phoneticPr fontId="2" type="noConversion"/>
  </si>
  <si>
    <t>경북 의성군 단밀면 괄등길 13</t>
    <phoneticPr fontId="2" type="noConversion"/>
  </si>
  <si>
    <t>경남 진주시 진성면 동산리 1251</t>
    <phoneticPr fontId="2" type="noConversion"/>
  </si>
  <si>
    <t>경남 통영시 인평도 평인일주로</t>
    <phoneticPr fontId="2" type="noConversion"/>
  </si>
  <si>
    <t>경북 의성군 다인면 봉정리 657</t>
    <phoneticPr fontId="2" type="noConversion"/>
  </si>
  <si>
    <t>경북 상주시 복룡동 복룡4길 21</t>
    <phoneticPr fontId="2" type="noConversion"/>
  </si>
  <si>
    <t>경남 진주시 정촌면 산업로79번길</t>
    <phoneticPr fontId="2" type="noConversion"/>
  </si>
  <si>
    <t>경남 고성군 고성읍 율대리 356-25</t>
    <phoneticPr fontId="2" type="noConversion"/>
  </si>
  <si>
    <t>경남 진주시 동진로 155</t>
    <phoneticPr fontId="2" type="noConversion"/>
  </si>
  <si>
    <t>충남 홍성군 구항면 태봉리 245-1</t>
    <phoneticPr fontId="2" type="noConversion"/>
  </si>
  <si>
    <t xml:space="preserve">대전광역시 유성구 유성대로 </t>
    <phoneticPr fontId="2" type="noConversion"/>
  </si>
  <si>
    <t>충남 예산군 고덕면 구만리 1259</t>
    <phoneticPr fontId="2" type="noConversion"/>
  </si>
  <si>
    <t>충남 천안시 동남구 목천읍 도장리 321-8</t>
    <phoneticPr fontId="2" type="noConversion"/>
  </si>
  <si>
    <t>충남 당진시 송악읍 부곡공단4길</t>
    <phoneticPr fontId="2" type="noConversion"/>
  </si>
  <si>
    <t>전북 익산시 팔봉동 보석로6길</t>
    <phoneticPr fontId="2" type="noConversion"/>
  </si>
  <si>
    <t>전북 김제시 용지면 용암리 22-104</t>
    <phoneticPr fontId="2" type="noConversion"/>
  </si>
  <si>
    <t>전북 고창군 성내면 선운대로</t>
    <phoneticPr fontId="2" type="noConversion"/>
  </si>
  <si>
    <t>전북 익산시 낭산면 낭산리</t>
    <phoneticPr fontId="2" type="noConversion"/>
  </si>
  <si>
    <t>전북 군산시 소룡동 외항1길</t>
    <phoneticPr fontId="2" type="noConversion"/>
  </si>
  <si>
    <t>전북 부안군 백산면 신평리 482-1</t>
    <phoneticPr fontId="2" type="noConversion"/>
  </si>
  <si>
    <t>전북 익산시 선화로1길 57-8</t>
    <phoneticPr fontId="2" type="noConversion"/>
  </si>
  <si>
    <t>전북 정읍시 소성면 고교리 261-12</t>
    <phoneticPr fontId="2" type="noConversion"/>
  </si>
  <si>
    <t>전북 고창군 고수면 봉산리 40-7</t>
    <phoneticPr fontId="2" type="noConversion"/>
  </si>
  <si>
    <t>강원 홍천군 남면 유치리 218-2</t>
    <phoneticPr fontId="2" type="noConversion"/>
  </si>
  <si>
    <t>강원 홍천군 남면 양지골길</t>
    <phoneticPr fontId="2" type="noConversion"/>
  </si>
  <si>
    <t>강원 원주시 단계동 883</t>
    <phoneticPr fontId="2" type="noConversion"/>
  </si>
  <si>
    <t>강원 원주시 판부면 백운산길</t>
    <phoneticPr fontId="2" type="noConversion"/>
  </si>
  <si>
    <t>강원 횡성군 횡성읍 청용3길</t>
    <phoneticPr fontId="2" type="noConversion"/>
  </si>
  <si>
    <t>강원 횡성군 우천면 문암리 402-4</t>
    <phoneticPr fontId="2" type="noConversion"/>
  </si>
  <si>
    <t>강원 원주시 홍업면 홍업리 1565</t>
    <phoneticPr fontId="2" type="noConversion"/>
  </si>
  <si>
    <t>강원 화천군 간동면 간척리 877-2</t>
    <phoneticPr fontId="2" type="noConversion"/>
  </si>
  <si>
    <t>강원 원주시 소초면 둔둔리 809</t>
    <phoneticPr fontId="2" type="noConversion"/>
  </si>
  <si>
    <t>충남 아산시 도고면 신유리 179-14</t>
    <phoneticPr fontId="2" type="noConversion"/>
  </si>
  <si>
    <t>충남 홍성군 홍북읍 노은리 326-1</t>
    <phoneticPr fontId="2" type="noConversion"/>
  </si>
  <si>
    <t>충남 홍성군 홍북읍 산수리 7-2</t>
    <phoneticPr fontId="2" type="noConversion"/>
  </si>
  <si>
    <t>도심</t>
    <phoneticPr fontId="2" type="noConversion"/>
  </si>
  <si>
    <t>우사</t>
    <phoneticPr fontId="2" type="noConversion"/>
  </si>
  <si>
    <t>돈사</t>
    <phoneticPr fontId="2" type="noConversion"/>
  </si>
  <si>
    <t>배경</t>
    <phoneticPr fontId="2" type="noConversion"/>
  </si>
  <si>
    <t>농지</t>
    <phoneticPr fontId="2" type="noConversion"/>
  </si>
  <si>
    <t>산단</t>
    <phoneticPr fontId="2" type="noConversion"/>
  </si>
  <si>
    <t>소각장</t>
    <phoneticPr fontId="2" type="noConversion"/>
  </si>
  <si>
    <t>계사</t>
    <phoneticPr fontId="2" type="noConversion"/>
  </si>
  <si>
    <t>축사(계사)</t>
    <phoneticPr fontId="2" type="noConversion"/>
  </si>
  <si>
    <t>축사(돈사)</t>
    <phoneticPr fontId="2" type="noConversion"/>
  </si>
  <si>
    <t>축사(우사)</t>
    <phoneticPr fontId="2" type="noConversion"/>
  </si>
  <si>
    <t>ID</t>
    <phoneticPr fontId="2" type="noConversion"/>
  </si>
  <si>
    <t>배출원</t>
    <phoneticPr fontId="2" type="noConversion"/>
  </si>
  <si>
    <t>2차(8/9~10/4)</t>
    <phoneticPr fontId="2" type="noConversion"/>
  </si>
  <si>
    <t>-</t>
    <phoneticPr fontId="2" type="noConversion"/>
  </si>
  <si>
    <t>서울-영등포</t>
    <phoneticPr fontId="2" type="noConversion"/>
  </si>
  <si>
    <t>서울-중랑</t>
    <phoneticPr fontId="2" type="noConversion"/>
  </si>
  <si>
    <t>서울-종로</t>
    <phoneticPr fontId="2" type="noConversion"/>
  </si>
  <si>
    <t>서울-관악</t>
    <phoneticPr fontId="2" type="noConversion"/>
  </si>
  <si>
    <t>서울-강서</t>
    <phoneticPr fontId="2" type="noConversion"/>
  </si>
  <si>
    <t>서울-강남</t>
    <phoneticPr fontId="2" type="noConversion"/>
  </si>
  <si>
    <t>서울-강동</t>
    <phoneticPr fontId="2" type="noConversion"/>
  </si>
  <si>
    <t>서울-강북</t>
    <phoneticPr fontId="2" type="noConversion"/>
  </si>
  <si>
    <t>수도권-시화</t>
    <phoneticPr fontId="2" type="noConversion"/>
  </si>
  <si>
    <t>수도권-송도</t>
    <phoneticPr fontId="2" type="noConversion"/>
  </si>
  <si>
    <t>수도권-포곡</t>
    <phoneticPr fontId="2" type="noConversion"/>
  </si>
  <si>
    <t>수도권-모현</t>
    <phoneticPr fontId="2" type="noConversion"/>
  </si>
  <si>
    <t>수도권-비봉</t>
    <phoneticPr fontId="2" type="noConversion"/>
  </si>
  <si>
    <t>영남-팔등</t>
    <phoneticPr fontId="2" type="noConversion"/>
  </si>
  <si>
    <t>영남-월아산</t>
    <phoneticPr fontId="2" type="noConversion"/>
  </si>
  <si>
    <t>영남-통영</t>
    <phoneticPr fontId="2" type="noConversion"/>
  </si>
  <si>
    <t>영남-상주</t>
    <phoneticPr fontId="2" type="noConversion"/>
  </si>
  <si>
    <t>영남-복룡</t>
    <phoneticPr fontId="2" type="noConversion"/>
  </si>
  <si>
    <t>영남-정촌</t>
    <phoneticPr fontId="2" type="noConversion"/>
  </si>
  <si>
    <t>영남-고성</t>
    <phoneticPr fontId="2" type="noConversion"/>
  </si>
  <si>
    <t>영남-진주</t>
    <phoneticPr fontId="2" type="noConversion"/>
  </si>
  <si>
    <t>중부-장양</t>
    <phoneticPr fontId="2" type="noConversion"/>
  </si>
  <si>
    <t>중부-신유</t>
    <phoneticPr fontId="2" type="noConversion"/>
  </si>
  <si>
    <t>중부-산수</t>
    <phoneticPr fontId="2" type="noConversion"/>
  </si>
  <si>
    <t>중부-노은</t>
    <phoneticPr fontId="2" type="noConversion"/>
  </si>
  <si>
    <t>중부-장대</t>
    <phoneticPr fontId="2" type="noConversion"/>
  </si>
  <si>
    <t>중부-구만</t>
    <phoneticPr fontId="2" type="noConversion"/>
  </si>
  <si>
    <t>중부-부곡</t>
    <phoneticPr fontId="2" type="noConversion"/>
  </si>
  <si>
    <t>중부-도장</t>
    <phoneticPr fontId="2" type="noConversion"/>
  </si>
  <si>
    <t>호남-약촌</t>
    <phoneticPr fontId="2" type="noConversion"/>
  </si>
  <si>
    <t>호남-용암</t>
    <phoneticPr fontId="2" type="noConversion"/>
  </si>
  <si>
    <t>호남-월산</t>
    <phoneticPr fontId="2" type="noConversion"/>
  </si>
  <si>
    <t>호남-신용</t>
    <phoneticPr fontId="2" type="noConversion"/>
  </si>
  <si>
    <t>호남-소룡</t>
    <phoneticPr fontId="2" type="noConversion"/>
  </si>
  <si>
    <t>호남-신평</t>
    <phoneticPr fontId="2" type="noConversion"/>
  </si>
  <si>
    <t>호남-익산</t>
    <phoneticPr fontId="2" type="noConversion"/>
  </si>
  <si>
    <t>호남-고교</t>
    <phoneticPr fontId="2" type="noConversion"/>
  </si>
  <si>
    <t>호남-봉산</t>
    <phoneticPr fontId="2" type="noConversion"/>
  </si>
  <si>
    <t>강원-유치</t>
    <phoneticPr fontId="2" type="noConversion"/>
  </si>
  <si>
    <t>강원-유치2</t>
    <phoneticPr fontId="2" type="noConversion"/>
  </si>
  <si>
    <t>강원-서원</t>
    <phoneticPr fontId="2" type="noConversion"/>
  </si>
  <si>
    <t>강원-서곡</t>
    <phoneticPr fontId="2" type="noConversion"/>
  </si>
  <si>
    <t>강원-묵계</t>
    <phoneticPr fontId="2" type="noConversion"/>
  </si>
  <si>
    <t>강원-문암</t>
    <phoneticPr fontId="2" type="noConversion"/>
  </si>
  <si>
    <t>강원-홍대</t>
    <phoneticPr fontId="2" type="noConversion"/>
  </si>
  <si>
    <t>강원-둔둔</t>
    <phoneticPr fontId="2" type="noConversion"/>
  </si>
  <si>
    <t>강원-간척</t>
    <phoneticPr fontId="2" type="noConversion"/>
  </si>
  <si>
    <t>경기 남양주시 미금로 36-11</t>
    <phoneticPr fontId="2" type="noConversion"/>
  </si>
  <si>
    <t>경기 포천시 군내면 용정리 493</t>
  </si>
  <si>
    <t>서울특별시 노원구 공릉로 232</t>
  </si>
  <si>
    <t>경기 수원시 장안구 만석로 29</t>
  </si>
  <si>
    <t>경기 의왕시 왕곡동 379</t>
  </si>
  <si>
    <t>경기 용인시 기흥구 동백동 678</t>
    <phoneticPr fontId="2" type="noConversion"/>
  </si>
  <si>
    <t>경기 안성시 대덕면 소내리 132-22</t>
    <phoneticPr fontId="2" type="noConversion"/>
  </si>
  <si>
    <t>강원도 화천군 간동면 간척리 1274</t>
  </si>
  <si>
    <t>강원도 양구군 양구읍 수인리 432-4</t>
  </si>
  <si>
    <t>강원도 양구군 국토정중앙면 죽리 674</t>
  </si>
  <si>
    <t>강원도 홍천군 화촌면 송정리 485</t>
  </si>
  <si>
    <t>강원도 홍천군 연봉리 101-26</t>
  </si>
  <si>
    <t>강원도 횡성군 묵계리 9-3</t>
  </si>
  <si>
    <t>강원도 횡성군 우천면 문암리 172-1</t>
  </si>
  <si>
    <t>강원도 원주시 태장동 1369</t>
  </si>
  <si>
    <t>강원도 춘천시 동면 장학길 48</t>
  </si>
  <si>
    <t>도심(아파트)</t>
    <phoneticPr fontId="2" type="noConversion"/>
  </si>
  <si>
    <t>도심(도로변)</t>
    <phoneticPr fontId="2" type="noConversion"/>
  </si>
  <si>
    <t>충북 청주시 상당구 문의면 대청호반로206</t>
  </si>
  <si>
    <t>충청남도 예산군 고덕면 구만리 1223-9</t>
  </si>
  <si>
    <t>층청남도 홍성군 홍북읍 산수리 15-1</t>
  </si>
  <si>
    <t>충청남도 홍성군 구항면 장양리 220-3</t>
  </si>
  <si>
    <t>층창남도 당진시 부곡리 596-4</t>
  </si>
  <si>
    <t>충청남도 아산시 도고면 신유리 181-2</t>
  </si>
  <si>
    <t>층청남도 천안시 동남구 목천읍 도장리 321</t>
  </si>
  <si>
    <t>충청남도 청주시 흥덕구 강내면 월곡길 38</t>
  </si>
  <si>
    <t>부산광역시 강서구 성북동 산309</t>
  </si>
  <si>
    <t>울산광역시 남구 장생포로 83</t>
  </si>
  <si>
    <t>경상북도 경주시 건천읍 송선리 산183-1</t>
  </si>
  <si>
    <t>경상남도 청도군 매전면 덕산2길60</t>
  </si>
  <si>
    <t>경상남도 밀양시 상남면 예림리 740-20</t>
  </si>
  <si>
    <t>경상남도 창원시 성산구 중앙대로 151</t>
  </si>
  <si>
    <t>경상남도 창원시 성산구 웅남동 61-79</t>
  </si>
  <si>
    <t>경상남도 김해시 인제로 197</t>
  </si>
  <si>
    <t>전라북도 진안군 진압읍 단양리 680-2</t>
    <phoneticPr fontId="2" type="noConversion"/>
  </si>
  <si>
    <t>전라북도 장수군 장수읍 개정리 481</t>
  </si>
  <si>
    <t>전라북도 남원시 산동면 부절리 2394-7</t>
  </si>
  <si>
    <t>전라북도 고창군 고수면 봉산리 40-8</t>
  </si>
  <si>
    <t>전라북도 고창군 성내면 월산리 643</t>
  </si>
  <si>
    <t>전라북도 정읍시 소성면 고교리 255-3</t>
  </si>
  <si>
    <t>전라북도 부안군 백산면 신평리 490-1</t>
  </si>
  <si>
    <t>전라북도 군산시 소룡동 228-2</t>
  </si>
  <si>
    <t>전라북도 익산시 익산대로 514</t>
  </si>
  <si>
    <t>축사(복합)</t>
    <phoneticPr fontId="2" type="noConversion"/>
  </si>
  <si>
    <t>PMN1</t>
    <phoneticPr fontId="2" type="noConversion"/>
  </si>
  <si>
    <t>PMN2</t>
  </si>
  <si>
    <t>PMN3</t>
  </si>
  <si>
    <t>PMN4</t>
  </si>
  <si>
    <t>PMS1</t>
    <phoneticPr fontId="2" type="noConversion"/>
  </si>
  <si>
    <t>PMS2</t>
  </si>
  <si>
    <t>PMS3</t>
  </si>
  <si>
    <t>PMS4</t>
  </si>
  <si>
    <t>PMS5</t>
  </si>
  <si>
    <t>PG1</t>
    <phoneticPr fontId="2" type="noConversion"/>
  </si>
  <si>
    <t>PG2</t>
  </si>
  <si>
    <t>PG3</t>
  </si>
  <si>
    <t>PG4</t>
  </si>
  <si>
    <t>PG5</t>
  </si>
  <si>
    <t>PG6</t>
  </si>
  <si>
    <t>PG7</t>
  </si>
  <si>
    <t>PG8</t>
  </si>
  <si>
    <t>PG9</t>
  </si>
  <si>
    <t>PJ1</t>
    <phoneticPr fontId="2" type="noConversion"/>
  </si>
  <si>
    <t>PJ2</t>
  </si>
  <si>
    <t>PJ3</t>
  </si>
  <si>
    <t>PJ4</t>
  </si>
  <si>
    <t>PJ5</t>
  </si>
  <si>
    <t>PJ6</t>
  </si>
  <si>
    <t>PJ7</t>
  </si>
  <si>
    <t>PJ9</t>
  </si>
  <si>
    <t>PY1</t>
    <phoneticPr fontId="2" type="noConversion"/>
  </si>
  <si>
    <t>PY2</t>
  </si>
  <si>
    <t>PY3</t>
  </si>
  <si>
    <t>PY5</t>
    <phoneticPr fontId="2" type="noConversion"/>
  </si>
  <si>
    <t>PY6</t>
  </si>
  <si>
    <t>PY7</t>
  </si>
  <si>
    <t>PY8</t>
  </si>
  <si>
    <t>PY9</t>
  </si>
  <si>
    <t>PH1</t>
    <phoneticPr fontId="2" type="noConversion"/>
  </si>
  <si>
    <t>PH2</t>
  </si>
  <si>
    <t>PH3</t>
  </si>
  <si>
    <t>PH4</t>
  </si>
  <si>
    <t>PH5</t>
  </si>
  <si>
    <t>PH6</t>
  </si>
  <si>
    <t>PH7</t>
  </si>
  <si>
    <t>PH8</t>
  </si>
  <si>
    <t>PH9</t>
  </si>
  <si>
    <t>1차(2023/6/13~8/13)</t>
    <phoneticPr fontId="2" type="noConversion"/>
  </si>
  <si>
    <t>2차(10/13~12/23)</t>
    <phoneticPr fontId="2" type="noConversion"/>
  </si>
  <si>
    <r>
      <rPr>
        <b/>
        <sz val="11"/>
        <color theme="1"/>
        <rFont val="Calibri"/>
        <family val="3"/>
        <charset val="161"/>
      </rPr>
      <t>μ</t>
    </r>
    <r>
      <rPr>
        <b/>
        <sz val="11"/>
        <color theme="1"/>
        <rFont val="Calibri"/>
        <family val="3"/>
      </rPr>
      <t xml:space="preserve">g/m3 -&gt; ppb </t>
    </r>
    <r>
      <rPr>
        <b/>
        <sz val="11"/>
        <color theme="1"/>
        <rFont val="맑은 고딕"/>
        <family val="3"/>
        <charset val="129"/>
        <scheme val="minor"/>
      </rPr>
      <t>변환식</t>
    </r>
    <phoneticPr fontId="2" type="noConversion"/>
  </si>
  <si>
    <t>표준 대기조건(25 °C, 1 atm)에서</t>
  </si>
  <si>
    <t>주차</t>
    <phoneticPr fontId="2" type="noConversion"/>
  </si>
  <si>
    <t>전북대</t>
    <phoneticPr fontId="2" type="noConversion"/>
  </si>
  <si>
    <t>JBNU</t>
    <phoneticPr fontId="2" type="noConversion"/>
  </si>
  <si>
    <t>(2023/06/16~7/14)</t>
    <phoneticPr fontId="2" type="noConversion"/>
  </si>
  <si>
    <t>1차(2024/5/10~6/28)</t>
    <phoneticPr fontId="2" type="noConversion"/>
  </si>
  <si>
    <t>청주시</t>
    <phoneticPr fontId="2" type="noConversion"/>
  </si>
  <si>
    <t>농도(ppb)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</si>
</sst>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_);[Red]\(0.00\)"/>
    <numFmt numFmtId="178" formatCode="0.000000_);[Red]\(0.000000\)"/>
  </numFmts>
  <fonts count="1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2"/>
      <color theme="1"/>
      <name val="함초롬돋움"/>
      <family val="3"/>
      <charset val="129"/>
    </font>
    <font>
      <sz val="11"/>
      <color theme="1"/>
      <name val="함초롬돋움"/>
      <family val="3"/>
      <charset val="129"/>
    </font>
    <font>
      <sz val="12"/>
      <color theme="1"/>
      <name val="맑은 고딕"/>
      <family val="3"/>
      <charset val="129"/>
      <scheme val="minor"/>
    </font>
    <font>
      <sz val="11"/>
      <color theme="1"/>
      <name val="맑은 고딕"/>
      <family val="3"/>
      <charset val="129"/>
      <scheme val="minor"/>
    </font>
    <font>
      <sz val="11"/>
      <color rgb="FF1F1F1F"/>
      <name val="Noto Sans KR"/>
      <family val="3"/>
      <charset val="129"/>
    </font>
    <font>
      <b/>
      <sz val="11"/>
      <color theme="1"/>
      <name val="맑은 고딕"/>
      <family val="3"/>
      <charset val="129"/>
      <scheme val="minor"/>
    </font>
    <font>
      <b/>
      <sz val="11"/>
      <color theme="1"/>
      <name val="Calibri"/>
      <family val="3"/>
      <charset val="161"/>
    </font>
    <font>
      <b/>
      <sz val="11"/>
      <color theme="1"/>
      <name val="Calibri"/>
      <family val="3"/>
    </font>
    <font>
      <b/>
      <sz val="11"/>
      <color theme="1"/>
      <name val="맑은 고딕"/>
      <family val="3"/>
      <charset val="161"/>
      <scheme val="minor"/>
    </font>
    <font>
      <sz val="11"/>
      <color rgb="FF1F1F1F"/>
      <name val="맑은 고딕"/>
      <family val="3"/>
      <charset val="129"/>
      <scheme val="major"/>
    </font>
    <font>
      <sz val="11"/>
      <color theme="1"/>
      <name val="맑은 고딕"/>
      <family val="3"/>
      <charset val="129"/>
      <scheme val="major"/>
    </font>
  </fonts>
  <fills count="2">
    <fill>
      <patternFill patternType="none"/>
    </fill>
    <fill>
      <patternFill patternType="gray125"/>
    </fill>
  </fills>
  <borders count="10">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41">
    <xf numFmtId="0" fontId="0" fillId="0" borderId="0" xfId="0">
      <alignment vertical="center"/>
    </xf>
    <xf numFmtId="0" fontId="6" fillId="0" borderId="0" xfId="0" applyFont="1">
      <alignment vertical="center"/>
    </xf>
    <xf numFmtId="177" fontId="0" fillId="0" borderId="0" xfId="0" applyNumberFormat="1">
      <alignment vertical="center"/>
    </xf>
    <xf numFmtId="178" fontId="0" fillId="0" borderId="0" xfId="0" applyNumberFormat="1">
      <alignment vertical="center"/>
    </xf>
    <xf numFmtId="178" fontId="7" fillId="0" borderId="0" xfId="0" applyNumberFormat="1" applyFont="1">
      <alignment vertical="center"/>
    </xf>
    <xf numFmtId="0" fontId="7" fillId="0" borderId="0" xfId="0" applyFont="1">
      <alignment vertical="center"/>
    </xf>
    <xf numFmtId="0" fontId="8" fillId="0" borderId="0" xfId="0" applyFont="1">
      <alignment vertical="center"/>
    </xf>
    <xf numFmtId="177" fontId="0" fillId="0" borderId="0" xfId="0" applyNumberFormat="1" applyAlignment="1">
      <alignment horizontal="center" vertical="center"/>
    </xf>
    <xf numFmtId="177" fontId="7" fillId="0" borderId="0" xfId="0" applyNumberFormat="1" applyFont="1">
      <alignment vertical="center"/>
    </xf>
    <xf numFmtId="0" fontId="11" fillId="0" borderId="0" xfId="0" applyFont="1">
      <alignment vertical="center"/>
    </xf>
    <xf numFmtId="0" fontId="0" fillId="0" borderId="0" xfId="0" applyAlignment="1">
      <alignment horizontal="left" vertical="center"/>
    </xf>
    <xf numFmtId="0" fontId="0" fillId="0" borderId="2" xfId="0" applyBorder="1" applyAlignment="1">
      <alignment horizontal="left" vertical="center"/>
    </xf>
    <xf numFmtId="0" fontId="0" fillId="0" borderId="3" xfId="0" applyBorder="1">
      <alignmen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5" xfId="0" applyBorder="1">
      <alignment vertical="center"/>
    </xf>
    <xf numFmtId="0" fontId="0" fillId="0" borderId="6" xfId="0" applyBorder="1">
      <alignmen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8" xfId="0" applyFont="1" applyBorder="1">
      <alignment vertical="center"/>
    </xf>
    <xf numFmtId="0" fontId="0" fillId="0" borderId="1" xfId="0" applyBorder="1">
      <alignment vertical="center"/>
    </xf>
    <xf numFmtId="0" fontId="0" fillId="0" borderId="8" xfId="0" applyBorder="1" applyAlignment="1">
      <alignment horizontal="left" vertical="center"/>
    </xf>
    <xf numFmtId="0" fontId="0" fillId="0" borderId="8" xfId="0" applyBorder="1">
      <alignment vertical="center"/>
    </xf>
    <xf numFmtId="0" fontId="0" fillId="0" borderId="9" xfId="0" applyBorder="1">
      <alignment vertical="center"/>
    </xf>
    <xf numFmtId="0" fontId="8" fillId="0" borderId="9" xfId="0" applyFont="1"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1" xfId="0" applyBorder="1" applyAlignment="1">
      <alignment horizontal="left" vertical="center"/>
    </xf>
    <xf numFmtId="0" fontId="3" fillId="0" borderId="0" xfId="1" applyFont="1" applyAlignment="1">
      <alignment horizontal="center" vertical="center"/>
    </xf>
    <xf numFmtId="177" fontId="4" fillId="0" borderId="0" xfId="1" applyNumberFormat="1" applyFont="1" applyAlignment="1">
      <alignment horizontal="center" vertical="center"/>
    </xf>
    <xf numFmtId="0" fontId="4" fillId="0" borderId="0" xfId="1" applyFont="1" applyAlignment="1">
      <alignment horizontal="center" vertical="center"/>
    </xf>
    <xf numFmtId="176" fontId="5" fillId="0" borderId="0" xfId="1" applyNumberFormat="1" applyFont="1" applyAlignment="1">
      <alignment horizontal="center" vertical="center" wrapText="1"/>
    </xf>
    <xf numFmtId="0" fontId="4" fillId="0" borderId="0" xfId="1" applyFont="1" applyAlignment="1">
      <alignment horizontal="left" vertical="center"/>
    </xf>
    <xf numFmtId="177" fontId="0" fillId="0" borderId="0" xfId="1" applyNumberFormat="1" applyFont="1" applyAlignment="1">
      <alignment horizontal="center" vertical="center"/>
    </xf>
    <xf numFmtId="177" fontId="6" fillId="0" borderId="0" xfId="1" applyNumberFormat="1" applyFont="1" applyAlignment="1">
      <alignment horizontal="center" vertical="center" wrapText="1"/>
    </xf>
    <xf numFmtId="0" fontId="0" fillId="0" borderId="2"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0" fillId="0" borderId="2" xfId="0" applyBorder="1" applyAlignment="1">
      <alignment horizontal="center" vertical="center"/>
    </xf>
    <xf numFmtId="0" fontId="12" fillId="0" borderId="0" xfId="0" applyFont="1" applyAlignment="1">
      <alignment horizontal="right" vertical="center"/>
    </xf>
    <xf numFmtId="178" fontId="13" fillId="0" borderId="0" xfId="0" applyNumberFormat="1" applyFont="1" applyAlignment="1">
      <alignment horizontal="right" vertical="center"/>
    </xf>
  </cellXfs>
  <cellStyles count="2">
    <cellStyle name="표준" xfId="0" builtinId="0"/>
    <cellStyle name="표준 2" xfId="1" xr:uid="{AA1C5853-A9CC-4CED-8ED9-047430E95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E4712-01C8-4536-BEEC-84791EA34573}">
  <dimension ref="A1:M222"/>
  <sheetViews>
    <sheetView tabSelected="1" topLeftCell="A177" zoomScaleNormal="100" workbookViewId="0">
      <selection activeCell="E157" sqref="E157"/>
    </sheetView>
  </sheetViews>
  <sheetFormatPr defaultRowHeight="17" x14ac:dyDescent="0.45"/>
  <cols>
    <col min="2" max="2" width="21.1640625" style="10" bestFit="1" customWidth="1"/>
    <col min="3" max="3" width="9.83203125" bestFit="1" customWidth="1"/>
    <col min="4" max="4" width="46.08203125" bestFit="1" customWidth="1"/>
    <col min="5" max="5" width="13.33203125" style="3" customWidth="1"/>
    <col min="6" max="6" width="14.5" style="3" customWidth="1"/>
    <col min="7" max="7" width="15.08203125" bestFit="1" customWidth="1"/>
    <col min="8" max="8" width="22" bestFit="1" customWidth="1"/>
    <col min="9" max="9" width="68.33203125" bestFit="1" customWidth="1"/>
  </cols>
  <sheetData>
    <row r="1" spans="2:9" x14ac:dyDescent="0.45">
      <c r="B1" s="10" t="s">
        <v>347</v>
      </c>
      <c r="C1" t="s">
        <v>560</v>
      </c>
      <c r="D1" t="s">
        <v>348</v>
      </c>
      <c r="E1" t="s">
        <v>349</v>
      </c>
      <c r="F1" t="s">
        <v>350</v>
      </c>
    </row>
    <row r="2" spans="2:9" ht="17.5" x14ac:dyDescent="0.45">
      <c r="B2" s="32" t="s">
        <v>0</v>
      </c>
      <c r="C2" s="29">
        <v>11.03</v>
      </c>
      <c r="I2" s="28" t="s">
        <v>1</v>
      </c>
    </row>
    <row r="3" spans="2:9" ht="17.5" x14ac:dyDescent="0.45">
      <c r="B3" s="32" t="s">
        <v>2</v>
      </c>
      <c r="C3" s="29">
        <v>8.8699999999999992</v>
      </c>
      <c r="I3" s="28" t="s">
        <v>1</v>
      </c>
    </row>
    <row r="4" spans="2:9" ht="17.5" x14ac:dyDescent="0.45">
      <c r="B4" s="32" t="s">
        <v>3</v>
      </c>
      <c r="C4" s="29">
        <v>34.9</v>
      </c>
      <c r="I4" s="28" t="s">
        <v>4</v>
      </c>
    </row>
    <row r="5" spans="2:9" ht="17.5" x14ac:dyDescent="0.45">
      <c r="B5" s="32" t="s">
        <v>5</v>
      </c>
      <c r="C5" s="29">
        <v>96.9</v>
      </c>
      <c r="I5" s="28" t="s">
        <v>6</v>
      </c>
    </row>
    <row r="6" spans="2:9" ht="17.5" x14ac:dyDescent="0.45">
      <c r="B6" s="32" t="s">
        <v>7</v>
      </c>
      <c r="C6" s="29">
        <v>6.59</v>
      </c>
      <c r="I6" s="28" t="s">
        <v>1</v>
      </c>
    </row>
    <row r="7" spans="2:9" ht="17.5" x14ac:dyDescent="0.45">
      <c r="B7" s="32" t="s">
        <v>8</v>
      </c>
      <c r="C7" s="29">
        <v>6.62</v>
      </c>
      <c r="I7" s="28" t="s">
        <v>1</v>
      </c>
    </row>
    <row r="8" spans="2:9" ht="17.5" x14ac:dyDescent="0.45">
      <c r="B8" s="32" t="s">
        <v>9</v>
      </c>
      <c r="C8" s="29">
        <v>4.4400000000000004</v>
      </c>
      <c r="I8" s="28" t="s">
        <v>1</v>
      </c>
    </row>
    <row r="9" spans="2:9" ht="17.5" x14ac:dyDescent="0.45">
      <c r="B9" s="32" t="s">
        <v>10</v>
      </c>
      <c r="C9" s="29">
        <v>4.88</v>
      </c>
      <c r="I9" s="28" t="s">
        <v>1</v>
      </c>
    </row>
    <row r="10" spans="2:9" ht="17.5" x14ac:dyDescent="0.45">
      <c r="B10" s="32" t="s">
        <v>11</v>
      </c>
      <c r="C10" s="29">
        <v>12.58</v>
      </c>
      <c r="I10" s="28" t="s">
        <v>1</v>
      </c>
    </row>
    <row r="11" spans="2:9" ht="17.5" x14ac:dyDescent="0.45">
      <c r="B11" s="32" t="s">
        <v>12</v>
      </c>
      <c r="C11" s="29">
        <v>5.96</v>
      </c>
      <c r="I11" s="28" t="s">
        <v>1</v>
      </c>
    </row>
    <row r="12" spans="2:9" ht="17.5" x14ac:dyDescent="0.45">
      <c r="B12" s="32" t="s">
        <v>13</v>
      </c>
      <c r="C12" s="29">
        <v>3.68</v>
      </c>
      <c r="I12" s="28" t="s">
        <v>1</v>
      </c>
    </row>
    <row r="13" spans="2:9" ht="17.5" x14ac:dyDescent="0.45">
      <c r="B13" s="32" t="s">
        <v>14</v>
      </c>
      <c r="C13" s="29">
        <v>88.7</v>
      </c>
      <c r="I13" s="28" t="s">
        <v>15</v>
      </c>
    </row>
    <row r="14" spans="2:9" ht="17.5" x14ac:dyDescent="0.45">
      <c r="B14" s="32" t="s">
        <v>16</v>
      </c>
      <c r="C14" s="29">
        <v>63.075000000000003</v>
      </c>
      <c r="I14" s="28" t="s">
        <v>15</v>
      </c>
    </row>
    <row r="15" spans="2:9" ht="17.5" x14ac:dyDescent="0.45">
      <c r="B15" s="32" t="s">
        <v>17</v>
      </c>
      <c r="C15" s="29">
        <v>72.7</v>
      </c>
      <c r="I15" s="28" t="s">
        <v>4</v>
      </c>
    </row>
    <row r="16" spans="2:9" ht="17.5" x14ac:dyDescent="0.45">
      <c r="B16" s="32" t="s">
        <v>18</v>
      </c>
      <c r="C16" s="29">
        <v>56</v>
      </c>
      <c r="I16" s="28" t="s">
        <v>19</v>
      </c>
    </row>
    <row r="17" spans="2:9" ht="17.5" x14ac:dyDescent="0.45">
      <c r="B17" s="32" t="s">
        <v>20</v>
      </c>
      <c r="C17" s="29">
        <v>14.4</v>
      </c>
      <c r="I17" s="28" t="s">
        <v>21</v>
      </c>
    </row>
    <row r="18" spans="2:9" ht="17.5" x14ac:dyDescent="0.45">
      <c r="B18" s="32" t="s">
        <v>22</v>
      </c>
      <c r="C18" s="29">
        <v>20.399999999999999</v>
      </c>
      <c r="I18" s="28" t="s">
        <v>23</v>
      </c>
    </row>
    <row r="19" spans="2:9" ht="17.5" x14ac:dyDescent="0.45">
      <c r="B19" s="32" t="s">
        <v>24</v>
      </c>
      <c r="C19" s="29">
        <v>24.6</v>
      </c>
      <c r="I19" s="28" t="s">
        <v>23</v>
      </c>
    </row>
    <row r="20" spans="2:9" ht="17.5" x14ac:dyDescent="0.45">
      <c r="B20" s="32" t="s">
        <v>25</v>
      </c>
      <c r="C20" s="29">
        <v>48.3</v>
      </c>
      <c r="I20" s="28" t="s">
        <v>26</v>
      </c>
    </row>
    <row r="21" spans="2:9" ht="17.5" x14ac:dyDescent="0.45">
      <c r="B21" s="32" t="s">
        <v>27</v>
      </c>
      <c r="C21" s="29">
        <v>54.6</v>
      </c>
      <c r="I21" s="28" t="s">
        <v>1</v>
      </c>
    </row>
    <row r="22" spans="2:9" ht="17.5" x14ac:dyDescent="0.45">
      <c r="B22" s="32" t="s">
        <v>28</v>
      </c>
      <c r="C22" s="29">
        <v>19.47</v>
      </c>
      <c r="I22" s="28" t="s">
        <v>29</v>
      </c>
    </row>
    <row r="23" spans="2:9" ht="17.5" x14ac:dyDescent="0.45">
      <c r="B23" s="32" t="s">
        <v>30</v>
      </c>
      <c r="C23" s="29">
        <v>73.819999999999993</v>
      </c>
      <c r="I23" s="28" t="s">
        <v>29</v>
      </c>
    </row>
    <row r="24" spans="2:9" ht="17.5" x14ac:dyDescent="0.45">
      <c r="B24" s="32" t="s">
        <v>31</v>
      </c>
      <c r="C24" s="29">
        <v>24.95</v>
      </c>
      <c r="I24" s="28" t="s">
        <v>29</v>
      </c>
    </row>
    <row r="25" spans="2:9" ht="17.5" x14ac:dyDescent="0.45">
      <c r="B25" s="32" t="s">
        <v>32</v>
      </c>
      <c r="C25" s="29">
        <v>10.65</v>
      </c>
      <c r="I25" s="28" t="s">
        <v>29</v>
      </c>
    </row>
    <row r="26" spans="2:9" ht="17.5" x14ac:dyDescent="0.45">
      <c r="B26" s="32" t="s">
        <v>33</v>
      </c>
      <c r="C26" s="29">
        <v>12.12</v>
      </c>
      <c r="I26" s="28" t="s">
        <v>29</v>
      </c>
    </row>
    <row r="27" spans="2:9" ht="17.5" x14ac:dyDescent="0.45">
      <c r="B27" s="32" t="s">
        <v>34</v>
      </c>
      <c r="C27" s="29">
        <v>6.86</v>
      </c>
      <c r="I27" s="28" t="s">
        <v>29</v>
      </c>
    </row>
    <row r="28" spans="2:9" ht="17.5" x14ac:dyDescent="0.45">
      <c r="B28" s="32" t="s">
        <v>35</v>
      </c>
      <c r="C28" s="29">
        <v>41.54</v>
      </c>
      <c r="I28" s="28" t="s">
        <v>29</v>
      </c>
    </row>
    <row r="29" spans="2:9" ht="17.5" x14ac:dyDescent="0.45">
      <c r="B29" s="32" t="s">
        <v>36</v>
      </c>
      <c r="C29" s="29">
        <v>25.59</v>
      </c>
      <c r="I29" s="28" t="s">
        <v>29</v>
      </c>
    </row>
    <row r="30" spans="2:9" ht="17.5" x14ac:dyDescent="0.45">
      <c r="B30" s="32" t="s">
        <v>37</v>
      </c>
      <c r="C30" s="29">
        <v>179.33</v>
      </c>
      <c r="I30" s="28" t="s">
        <v>29</v>
      </c>
    </row>
    <row r="31" spans="2:9" ht="17.5" x14ac:dyDescent="0.45">
      <c r="B31" s="32" t="s">
        <v>38</v>
      </c>
      <c r="C31" s="29">
        <v>10.54</v>
      </c>
      <c r="I31" s="28" t="s">
        <v>29</v>
      </c>
    </row>
    <row r="32" spans="2:9" ht="17.5" x14ac:dyDescent="0.45">
      <c r="B32" s="32" t="s">
        <v>39</v>
      </c>
      <c r="C32" s="29">
        <v>16.079999999999998</v>
      </c>
      <c r="I32" s="28" t="s">
        <v>29</v>
      </c>
    </row>
    <row r="33" spans="2:9" ht="17.5" x14ac:dyDescent="0.45">
      <c r="B33" s="32" t="s">
        <v>40</v>
      </c>
      <c r="C33" s="29">
        <v>63.93</v>
      </c>
      <c r="I33" s="28" t="s">
        <v>29</v>
      </c>
    </row>
    <row r="34" spans="2:9" ht="17.5" x14ac:dyDescent="0.45">
      <c r="B34" s="32" t="s">
        <v>41</v>
      </c>
      <c r="C34" s="29">
        <v>16.84</v>
      </c>
      <c r="I34" s="28" t="s">
        <v>29</v>
      </c>
    </row>
    <row r="35" spans="2:9" ht="17.5" x14ac:dyDescent="0.45">
      <c r="B35" s="32" t="s">
        <v>42</v>
      </c>
      <c r="C35" s="29">
        <v>51.39</v>
      </c>
      <c r="I35" s="28" t="s">
        <v>29</v>
      </c>
    </row>
    <row r="36" spans="2:9" ht="17.5" x14ac:dyDescent="0.45">
      <c r="B36" s="32" t="s">
        <v>41</v>
      </c>
      <c r="C36" s="29">
        <v>22.33</v>
      </c>
      <c r="I36" s="28" t="s">
        <v>29</v>
      </c>
    </row>
    <row r="37" spans="2:9" x14ac:dyDescent="0.45">
      <c r="B37" s="32" t="s">
        <v>43</v>
      </c>
      <c r="C37" s="29">
        <v>7.86</v>
      </c>
      <c r="I37" s="30" t="s">
        <v>44</v>
      </c>
    </row>
    <row r="38" spans="2:9" ht="17.5" x14ac:dyDescent="0.45">
      <c r="B38" s="32" t="s">
        <v>45</v>
      </c>
      <c r="C38" s="33">
        <v>8.8447782772196035</v>
      </c>
      <c r="I38" s="28" t="s">
        <v>1</v>
      </c>
    </row>
    <row r="39" spans="2:9" ht="17.5" x14ac:dyDescent="0.45">
      <c r="B39" s="32" t="s">
        <v>46</v>
      </c>
      <c r="C39" s="29">
        <v>6.67</v>
      </c>
      <c r="I39" s="28" t="s">
        <v>1</v>
      </c>
    </row>
    <row r="40" spans="2:9" x14ac:dyDescent="0.45">
      <c r="B40" s="32" t="s">
        <v>64</v>
      </c>
      <c r="C40" s="29">
        <v>18.2</v>
      </c>
      <c r="I40" s="30" t="s">
        <v>26</v>
      </c>
    </row>
    <row r="41" spans="2:9" x14ac:dyDescent="0.45">
      <c r="B41" s="32" t="s">
        <v>65</v>
      </c>
      <c r="C41" s="29">
        <v>8.3000000000000007</v>
      </c>
      <c r="I41" s="30" t="s">
        <v>26</v>
      </c>
    </row>
    <row r="42" spans="2:9" x14ac:dyDescent="0.45">
      <c r="B42" s="32" t="s">
        <v>105</v>
      </c>
      <c r="C42" s="29">
        <v>8.6</v>
      </c>
      <c r="I42" s="30" t="s">
        <v>106</v>
      </c>
    </row>
    <row r="43" spans="2:9" x14ac:dyDescent="0.45">
      <c r="B43" s="32" t="s">
        <v>66</v>
      </c>
      <c r="C43" s="29">
        <v>8.5</v>
      </c>
      <c r="I43" s="30" t="s">
        <v>1</v>
      </c>
    </row>
    <row r="44" spans="2:9" x14ac:dyDescent="0.45">
      <c r="B44" s="32" t="s">
        <v>67</v>
      </c>
      <c r="C44" s="29">
        <v>7.7</v>
      </c>
      <c r="I44" s="30" t="s">
        <v>1</v>
      </c>
    </row>
    <row r="45" spans="2:9" x14ac:dyDescent="0.45">
      <c r="B45" s="32" t="s">
        <v>68</v>
      </c>
      <c r="C45" s="29">
        <v>7.4</v>
      </c>
      <c r="I45" s="30" t="s">
        <v>1</v>
      </c>
    </row>
    <row r="46" spans="2:9" x14ac:dyDescent="0.45">
      <c r="B46" s="32" t="s">
        <v>84</v>
      </c>
      <c r="C46" s="29">
        <v>8.3000000000000007</v>
      </c>
      <c r="I46" s="30" t="s">
        <v>1</v>
      </c>
    </row>
    <row r="47" spans="2:9" x14ac:dyDescent="0.45">
      <c r="B47" s="32" t="s">
        <v>70</v>
      </c>
      <c r="C47" s="29">
        <v>6.7</v>
      </c>
      <c r="I47" s="30" t="s">
        <v>1</v>
      </c>
    </row>
    <row r="48" spans="2:9" x14ac:dyDescent="0.45">
      <c r="B48" s="32" t="s">
        <v>85</v>
      </c>
      <c r="C48" s="29">
        <v>7.1</v>
      </c>
      <c r="I48" s="30" t="s">
        <v>1</v>
      </c>
    </row>
    <row r="49" spans="2:9" x14ac:dyDescent="0.45">
      <c r="B49" s="32" t="s">
        <v>86</v>
      </c>
      <c r="C49" s="29">
        <v>11.8</v>
      </c>
      <c r="I49" s="30" t="s">
        <v>1</v>
      </c>
    </row>
    <row r="50" spans="2:9" x14ac:dyDescent="0.45">
      <c r="B50" s="32" t="s">
        <v>58</v>
      </c>
      <c r="C50" s="29">
        <v>12.2</v>
      </c>
      <c r="I50" s="30" t="s">
        <v>1</v>
      </c>
    </row>
    <row r="51" spans="2:9" x14ac:dyDescent="0.45">
      <c r="B51" s="32" t="s">
        <v>107</v>
      </c>
      <c r="C51" s="29">
        <v>7</v>
      </c>
      <c r="I51" s="30" t="s">
        <v>1</v>
      </c>
    </row>
    <row r="52" spans="2:9" x14ac:dyDescent="0.45">
      <c r="B52" s="32" t="s">
        <v>108</v>
      </c>
      <c r="C52" s="29">
        <v>14.1</v>
      </c>
      <c r="I52" s="30" t="s">
        <v>1</v>
      </c>
    </row>
    <row r="53" spans="2:9" x14ac:dyDescent="0.45">
      <c r="B53" s="32" t="s">
        <v>109</v>
      </c>
      <c r="C53" s="29">
        <v>6.1</v>
      </c>
      <c r="I53" s="30" t="s">
        <v>1</v>
      </c>
    </row>
    <row r="54" spans="2:9" x14ac:dyDescent="0.45">
      <c r="B54" s="32" t="s">
        <v>90</v>
      </c>
      <c r="C54" s="29">
        <v>8.1</v>
      </c>
      <c r="I54" s="30" t="s">
        <v>1</v>
      </c>
    </row>
    <row r="55" spans="2:9" x14ac:dyDescent="0.45">
      <c r="B55" s="32" t="s">
        <v>91</v>
      </c>
      <c r="C55" s="29">
        <v>7.4</v>
      </c>
      <c r="I55" s="30" t="s">
        <v>1</v>
      </c>
    </row>
    <row r="56" spans="2:9" x14ac:dyDescent="0.45">
      <c r="B56" s="32" t="s">
        <v>92</v>
      </c>
      <c r="C56" s="29">
        <v>8.6999999999999993</v>
      </c>
      <c r="I56" s="30" t="s">
        <v>1</v>
      </c>
    </row>
    <row r="57" spans="2:9" x14ac:dyDescent="0.45">
      <c r="B57" s="32" t="s">
        <v>93</v>
      </c>
      <c r="C57" s="29">
        <v>6.1</v>
      </c>
      <c r="I57" s="30" t="s">
        <v>1</v>
      </c>
    </row>
    <row r="58" spans="2:9" x14ac:dyDescent="0.45">
      <c r="B58" s="32" t="s">
        <v>94</v>
      </c>
      <c r="C58" s="29">
        <v>4.8600000000000003</v>
      </c>
      <c r="I58" s="30" t="s">
        <v>1</v>
      </c>
    </row>
    <row r="59" spans="2:9" x14ac:dyDescent="0.45">
      <c r="B59" s="32" t="s">
        <v>95</v>
      </c>
      <c r="C59" s="29">
        <v>7.79</v>
      </c>
      <c r="I59" s="30" t="s">
        <v>1</v>
      </c>
    </row>
    <row r="60" spans="2:9" x14ac:dyDescent="0.45">
      <c r="B60" s="32" t="s">
        <v>96</v>
      </c>
      <c r="C60" s="29">
        <v>5.4</v>
      </c>
      <c r="I60" s="30" t="s">
        <v>1</v>
      </c>
    </row>
    <row r="61" spans="2:9" x14ac:dyDescent="0.45">
      <c r="B61" s="32" t="s">
        <v>71</v>
      </c>
      <c r="C61" s="29">
        <v>5.6</v>
      </c>
      <c r="I61" s="30" t="s">
        <v>110</v>
      </c>
    </row>
    <row r="62" spans="2:9" x14ac:dyDescent="0.45">
      <c r="B62" s="32" t="s">
        <v>111</v>
      </c>
      <c r="C62" s="29">
        <v>9.6</v>
      </c>
      <c r="I62" s="30" t="s">
        <v>110</v>
      </c>
    </row>
    <row r="63" spans="2:9" x14ac:dyDescent="0.45">
      <c r="B63" s="32" t="s">
        <v>59</v>
      </c>
      <c r="C63" s="29">
        <v>9</v>
      </c>
      <c r="I63" s="30" t="s">
        <v>110</v>
      </c>
    </row>
    <row r="64" spans="2:9" x14ac:dyDescent="0.45">
      <c r="B64" s="32" t="s">
        <v>104</v>
      </c>
      <c r="C64" s="29">
        <v>3.5</v>
      </c>
      <c r="I64" s="30" t="s">
        <v>110</v>
      </c>
    </row>
    <row r="65" spans="2:9" x14ac:dyDescent="0.45">
      <c r="B65" s="32" t="s">
        <v>112</v>
      </c>
      <c r="C65" s="29">
        <v>12.99</v>
      </c>
      <c r="I65" s="30" t="s">
        <v>1</v>
      </c>
    </row>
    <row r="66" spans="2:9" x14ac:dyDescent="0.45">
      <c r="B66" s="32" t="s">
        <v>57</v>
      </c>
      <c r="C66" s="29">
        <v>12.13</v>
      </c>
      <c r="I66" s="30" t="s">
        <v>1</v>
      </c>
    </row>
    <row r="67" spans="2:9" x14ac:dyDescent="0.45">
      <c r="B67" s="32" t="s">
        <v>63</v>
      </c>
      <c r="C67" s="29">
        <v>11.53</v>
      </c>
      <c r="I67" s="30" t="s">
        <v>1</v>
      </c>
    </row>
    <row r="68" spans="2:9" ht="17.5" x14ac:dyDescent="0.45">
      <c r="B68" s="32" t="s">
        <v>72</v>
      </c>
      <c r="C68" s="29">
        <v>10.08</v>
      </c>
      <c r="I68" s="28" t="s">
        <v>29</v>
      </c>
    </row>
    <row r="69" spans="2:9" ht="17.5" x14ac:dyDescent="0.45">
      <c r="B69" s="32" t="s">
        <v>73</v>
      </c>
      <c r="C69" s="29">
        <v>2.86</v>
      </c>
      <c r="I69" s="28" t="s">
        <v>29</v>
      </c>
    </row>
    <row r="70" spans="2:9" ht="17.5" x14ac:dyDescent="0.45">
      <c r="B70" s="32" t="s">
        <v>74</v>
      </c>
      <c r="C70" s="29">
        <v>5.71</v>
      </c>
      <c r="I70" s="28" t="s">
        <v>29</v>
      </c>
    </row>
    <row r="71" spans="2:9" ht="17.5" x14ac:dyDescent="0.45">
      <c r="B71" s="32" t="s">
        <v>75</v>
      </c>
      <c r="C71" s="29">
        <v>8.52</v>
      </c>
      <c r="I71" s="28" t="s">
        <v>29</v>
      </c>
    </row>
    <row r="72" spans="2:9" ht="17.5" x14ac:dyDescent="0.45">
      <c r="B72" s="32" t="s">
        <v>60</v>
      </c>
      <c r="C72" s="29">
        <v>5.45</v>
      </c>
      <c r="I72" s="28" t="s">
        <v>29</v>
      </c>
    </row>
    <row r="73" spans="2:9" ht="17.5" x14ac:dyDescent="0.45">
      <c r="B73" s="32" t="s">
        <v>85</v>
      </c>
      <c r="C73" s="29">
        <v>8.2100000000000009</v>
      </c>
      <c r="I73" s="28" t="s">
        <v>29</v>
      </c>
    </row>
    <row r="74" spans="2:9" ht="17.5" x14ac:dyDescent="0.45">
      <c r="B74" s="32" t="s">
        <v>87</v>
      </c>
      <c r="C74" s="29">
        <v>3.7</v>
      </c>
      <c r="I74" s="28" t="s">
        <v>29</v>
      </c>
    </row>
    <row r="75" spans="2:9" ht="17.5" x14ac:dyDescent="0.45">
      <c r="B75" s="32" t="s">
        <v>97</v>
      </c>
      <c r="C75" s="29">
        <v>6.78</v>
      </c>
      <c r="I75" s="28" t="s">
        <v>29</v>
      </c>
    </row>
    <row r="76" spans="2:9" ht="17.5" x14ac:dyDescent="0.45">
      <c r="B76" s="32" t="s">
        <v>98</v>
      </c>
      <c r="C76" s="29">
        <v>10.35</v>
      </c>
      <c r="I76" s="28" t="s">
        <v>29</v>
      </c>
    </row>
    <row r="77" spans="2:9" ht="17.5" x14ac:dyDescent="0.45">
      <c r="B77" s="32" t="s">
        <v>99</v>
      </c>
      <c r="C77" s="29">
        <v>3.83</v>
      </c>
      <c r="I77" s="28" t="s">
        <v>29</v>
      </c>
    </row>
    <row r="78" spans="2:9" ht="17.5" x14ac:dyDescent="0.45">
      <c r="B78" s="32" t="s">
        <v>57</v>
      </c>
      <c r="C78" s="29">
        <v>5.44</v>
      </c>
      <c r="I78" s="28" t="s">
        <v>29</v>
      </c>
    </row>
    <row r="79" spans="2:9" ht="17.5" x14ac:dyDescent="0.45">
      <c r="B79" s="32" t="s">
        <v>105</v>
      </c>
      <c r="C79" s="29">
        <v>13.79</v>
      </c>
      <c r="I79" s="28" t="s">
        <v>29</v>
      </c>
    </row>
    <row r="80" spans="2:9" ht="17.5" x14ac:dyDescent="0.45">
      <c r="B80" s="32" t="s">
        <v>113</v>
      </c>
      <c r="C80" s="29">
        <v>5.44</v>
      </c>
      <c r="I80" s="28" t="s">
        <v>29</v>
      </c>
    </row>
    <row r="81" spans="2:9" x14ac:dyDescent="0.45">
      <c r="B81" s="32" t="s">
        <v>55</v>
      </c>
      <c r="C81" s="29">
        <v>7.37</v>
      </c>
      <c r="I81" s="30" t="s">
        <v>1</v>
      </c>
    </row>
    <row r="82" spans="2:9" x14ac:dyDescent="0.45">
      <c r="B82" s="32" t="s">
        <v>69</v>
      </c>
      <c r="C82" s="29">
        <v>6.9</v>
      </c>
      <c r="I82" s="30" t="s">
        <v>114</v>
      </c>
    </row>
    <row r="83" spans="2:9" x14ac:dyDescent="0.45">
      <c r="B83" s="32" t="s">
        <v>76</v>
      </c>
      <c r="C83" s="29">
        <v>15.9</v>
      </c>
      <c r="I83" s="30" t="s">
        <v>26</v>
      </c>
    </row>
    <row r="84" spans="2:9" x14ac:dyDescent="0.45">
      <c r="B84" s="32" t="s">
        <v>50</v>
      </c>
      <c r="C84" s="29">
        <v>12.5</v>
      </c>
      <c r="I84" s="30" t="s">
        <v>4</v>
      </c>
    </row>
    <row r="85" spans="2:9" x14ac:dyDescent="0.45">
      <c r="B85" s="32" t="s">
        <v>77</v>
      </c>
      <c r="C85" s="29">
        <v>12.3</v>
      </c>
      <c r="I85" s="30" t="s">
        <v>115</v>
      </c>
    </row>
    <row r="86" spans="2:9" x14ac:dyDescent="0.45">
      <c r="B86" s="32" t="s">
        <v>78</v>
      </c>
      <c r="C86" s="29">
        <v>10.46</v>
      </c>
      <c r="I86" s="30" t="s">
        <v>116</v>
      </c>
    </row>
    <row r="87" spans="2:9" x14ac:dyDescent="0.45">
      <c r="B87" s="32" t="s">
        <v>79</v>
      </c>
      <c r="C87" s="29">
        <v>8.76</v>
      </c>
      <c r="I87" s="30" t="s">
        <v>116</v>
      </c>
    </row>
    <row r="88" spans="2:9" x14ac:dyDescent="0.45">
      <c r="B88" s="32" t="s">
        <v>69</v>
      </c>
      <c r="C88" s="29">
        <v>10.3</v>
      </c>
      <c r="I88" s="30" t="s">
        <v>115</v>
      </c>
    </row>
    <row r="89" spans="2:9" ht="17.5" x14ac:dyDescent="0.45">
      <c r="B89" s="32" t="s">
        <v>80</v>
      </c>
      <c r="C89" s="29">
        <v>19.57</v>
      </c>
      <c r="I89" s="28" t="s">
        <v>29</v>
      </c>
    </row>
    <row r="90" spans="2:9" ht="17.5" x14ac:dyDescent="0.45">
      <c r="B90" s="32" t="s">
        <v>100</v>
      </c>
      <c r="C90" s="29">
        <v>19.16</v>
      </c>
      <c r="I90" s="28" t="s">
        <v>29</v>
      </c>
    </row>
    <row r="91" spans="2:9" x14ac:dyDescent="0.45">
      <c r="B91" s="32" t="s">
        <v>51</v>
      </c>
      <c r="C91" s="29">
        <v>4.9000000000000004</v>
      </c>
      <c r="I91" s="30" t="s">
        <v>4</v>
      </c>
    </row>
    <row r="92" spans="2:9" x14ac:dyDescent="0.45">
      <c r="B92" s="32" t="s">
        <v>117</v>
      </c>
      <c r="C92" s="29">
        <v>3.8</v>
      </c>
      <c r="I92" s="30" t="s">
        <v>26</v>
      </c>
    </row>
    <row r="93" spans="2:9" x14ac:dyDescent="0.45">
      <c r="B93" s="32" t="s">
        <v>118</v>
      </c>
      <c r="C93" s="29">
        <v>2.1</v>
      </c>
      <c r="I93" s="30" t="s">
        <v>110</v>
      </c>
    </row>
    <row r="94" spans="2:9" x14ac:dyDescent="0.45">
      <c r="B94" s="32" t="s">
        <v>118</v>
      </c>
      <c r="C94" s="29">
        <v>6.7</v>
      </c>
      <c r="I94" s="30" t="s">
        <v>1</v>
      </c>
    </row>
    <row r="95" spans="2:9" x14ac:dyDescent="0.45">
      <c r="B95" s="32" t="s">
        <v>119</v>
      </c>
      <c r="C95" s="29">
        <v>1.3</v>
      </c>
      <c r="I95" s="30" t="s">
        <v>110</v>
      </c>
    </row>
    <row r="96" spans="2:9" ht="17.5" x14ac:dyDescent="0.45">
      <c r="B96" s="32" t="s">
        <v>52</v>
      </c>
      <c r="C96" s="29">
        <v>3.31</v>
      </c>
      <c r="I96" s="28" t="s">
        <v>29</v>
      </c>
    </row>
    <row r="97" spans="2:9" ht="17.5" x14ac:dyDescent="0.45">
      <c r="B97" s="32" t="s">
        <v>101</v>
      </c>
      <c r="C97" s="29">
        <v>3.19</v>
      </c>
      <c r="I97" s="28" t="s">
        <v>29</v>
      </c>
    </row>
    <row r="98" spans="2:9" ht="17.5" x14ac:dyDescent="0.45">
      <c r="B98" s="32" t="s">
        <v>88</v>
      </c>
      <c r="C98" s="29">
        <v>1.46</v>
      </c>
      <c r="I98" s="28" t="s">
        <v>29</v>
      </c>
    </row>
    <row r="99" spans="2:9" ht="17.5" x14ac:dyDescent="0.45">
      <c r="B99" s="32" t="s">
        <v>12</v>
      </c>
      <c r="C99" s="29">
        <v>1.71</v>
      </c>
      <c r="I99" s="28" t="s">
        <v>29</v>
      </c>
    </row>
    <row r="100" spans="2:9" ht="17.5" x14ac:dyDescent="0.45">
      <c r="B100" s="32" t="s">
        <v>61</v>
      </c>
      <c r="C100" s="29">
        <v>2.9</v>
      </c>
      <c r="I100" s="28" t="s">
        <v>29</v>
      </c>
    </row>
    <row r="101" spans="2:9" ht="17.5" x14ac:dyDescent="0.45">
      <c r="B101" s="32" t="s">
        <v>53</v>
      </c>
      <c r="C101" s="34">
        <v>13.4</v>
      </c>
      <c r="I101" s="31" t="s">
        <v>120</v>
      </c>
    </row>
    <row r="102" spans="2:9" ht="17.5" x14ac:dyDescent="0.45">
      <c r="B102" s="32" t="s">
        <v>81</v>
      </c>
      <c r="C102" s="34">
        <v>8.6</v>
      </c>
      <c r="I102" s="31" t="s">
        <v>121</v>
      </c>
    </row>
    <row r="103" spans="2:9" ht="17.5" x14ac:dyDescent="0.45">
      <c r="B103" s="32" t="s">
        <v>82</v>
      </c>
      <c r="C103" s="29">
        <v>5.46</v>
      </c>
      <c r="I103" s="28" t="s">
        <v>29</v>
      </c>
    </row>
    <row r="104" spans="2:9" ht="17.5" x14ac:dyDescent="0.45">
      <c r="B104" s="32" t="s">
        <v>70</v>
      </c>
      <c r="C104" s="29">
        <v>16.02</v>
      </c>
      <c r="I104" s="28" t="s">
        <v>29</v>
      </c>
    </row>
    <row r="105" spans="2:9" ht="17.5" x14ac:dyDescent="0.45">
      <c r="B105" s="32" t="s">
        <v>83</v>
      </c>
      <c r="C105" s="29">
        <v>23.39</v>
      </c>
      <c r="I105" s="28" t="s">
        <v>29</v>
      </c>
    </row>
    <row r="106" spans="2:9" ht="17.5" x14ac:dyDescent="0.45">
      <c r="B106" s="32" t="s">
        <v>81</v>
      </c>
      <c r="C106" s="29">
        <v>15.25</v>
      </c>
      <c r="I106" s="28" t="s">
        <v>29</v>
      </c>
    </row>
    <row r="107" spans="2:9" ht="17.5" x14ac:dyDescent="0.45">
      <c r="B107" s="32" t="s">
        <v>62</v>
      </c>
      <c r="C107" s="29">
        <v>29</v>
      </c>
      <c r="I107" s="28" t="s">
        <v>29</v>
      </c>
    </row>
    <row r="108" spans="2:9" ht="17.5" x14ac:dyDescent="0.45">
      <c r="B108" s="32" t="s">
        <v>89</v>
      </c>
      <c r="C108" s="29">
        <v>19.670000000000002</v>
      </c>
      <c r="I108" s="28" t="s">
        <v>29</v>
      </c>
    </row>
    <row r="109" spans="2:9" ht="17.5" x14ac:dyDescent="0.45">
      <c r="B109" s="32" t="s">
        <v>102</v>
      </c>
      <c r="C109" s="29">
        <v>10.19</v>
      </c>
      <c r="I109" s="28" t="s">
        <v>29</v>
      </c>
    </row>
    <row r="110" spans="2:9" ht="17.5" x14ac:dyDescent="0.45">
      <c r="B110" s="32" t="s">
        <v>103</v>
      </c>
      <c r="C110" s="29">
        <v>6.87</v>
      </c>
      <c r="I110" s="28" t="s">
        <v>29</v>
      </c>
    </row>
    <row r="111" spans="2:9" ht="17.5" x14ac:dyDescent="0.45">
      <c r="B111" s="32" t="s">
        <v>54</v>
      </c>
      <c r="C111" s="29">
        <v>18.329999999999998</v>
      </c>
      <c r="I111" s="28" t="s">
        <v>29</v>
      </c>
    </row>
    <row r="112" spans="2:9" ht="17.5" x14ac:dyDescent="0.45">
      <c r="B112" s="32" t="s">
        <v>54</v>
      </c>
      <c r="C112" s="29">
        <v>51.39</v>
      </c>
      <c r="I112" s="28" t="s">
        <v>29</v>
      </c>
    </row>
    <row r="113" spans="2:9" ht="18.5" x14ac:dyDescent="0.45">
      <c r="B113" s="10" t="s">
        <v>125</v>
      </c>
      <c r="C113" s="2">
        <v>10.08</v>
      </c>
      <c r="D113" t="s">
        <v>123</v>
      </c>
      <c r="E113" s="4">
        <v>37.608190999999998</v>
      </c>
      <c r="F113" s="3">
        <v>127.152698</v>
      </c>
      <c r="G113" t="s">
        <v>124</v>
      </c>
      <c r="H113" t="s">
        <v>122</v>
      </c>
      <c r="I113" t="s">
        <v>29</v>
      </c>
    </row>
    <row r="114" spans="2:9" ht="18.5" x14ac:dyDescent="0.45">
      <c r="B114" s="10" t="s">
        <v>128</v>
      </c>
      <c r="C114" s="2">
        <v>5.46</v>
      </c>
      <c r="D114" t="s">
        <v>127</v>
      </c>
      <c r="E114" s="4">
        <v>37.741652000000002</v>
      </c>
      <c r="F114" s="3">
        <v>127.08186000000001</v>
      </c>
      <c r="G114" t="s">
        <v>124</v>
      </c>
      <c r="H114" t="s">
        <v>126</v>
      </c>
      <c r="I114" t="s">
        <v>29</v>
      </c>
    </row>
    <row r="115" spans="2:9" ht="18.5" x14ac:dyDescent="0.45">
      <c r="B115" s="10" t="s">
        <v>130</v>
      </c>
      <c r="C115" s="2">
        <v>16.02</v>
      </c>
      <c r="D115" t="s">
        <v>129</v>
      </c>
      <c r="E115" s="4">
        <v>37.880360000000003</v>
      </c>
      <c r="F115" s="3">
        <v>127.202623</v>
      </c>
      <c r="G115" t="s">
        <v>124</v>
      </c>
      <c r="H115" t="s">
        <v>126</v>
      </c>
      <c r="I115" t="s">
        <v>29</v>
      </c>
    </row>
    <row r="116" spans="2:9" ht="18.5" x14ac:dyDescent="0.45">
      <c r="B116" s="10" t="s">
        <v>73</v>
      </c>
      <c r="C116" s="2">
        <v>2.86</v>
      </c>
      <c r="D116" t="s">
        <v>132</v>
      </c>
      <c r="E116" s="4">
        <v>37.633051000000002</v>
      </c>
      <c r="F116" s="3">
        <v>127.079859</v>
      </c>
      <c r="G116" t="s">
        <v>133</v>
      </c>
      <c r="H116" t="s">
        <v>131</v>
      </c>
      <c r="I116" t="s">
        <v>29</v>
      </c>
    </row>
    <row r="117" spans="2:9" ht="18.5" x14ac:dyDescent="0.45">
      <c r="B117" s="10" t="s">
        <v>135</v>
      </c>
      <c r="C117" s="2">
        <v>5.71</v>
      </c>
      <c r="D117" t="s">
        <v>134</v>
      </c>
      <c r="E117" s="4">
        <v>37.296973999999999</v>
      </c>
      <c r="F117" s="3">
        <v>126.984512</v>
      </c>
      <c r="G117" t="s">
        <v>124</v>
      </c>
      <c r="H117" t="s">
        <v>122</v>
      </c>
      <c r="I117" t="s">
        <v>29</v>
      </c>
    </row>
    <row r="118" spans="2:9" ht="18.5" x14ac:dyDescent="0.45">
      <c r="B118" s="10" t="s">
        <v>138</v>
      </c>
      <c r="C118" s="2">
        <v>19.57</v>
      </c>
      <c r="D118" t="s">
        <v>137</v>
      </c>
      <c r="E118" s="4">
        <v>37.340349000000003</v>
      </c>
      <c r="F118" s="3">
        <v>126.97954799999999</v>
      </c>
      <c r="G118" t="s">
        <v>124</v>
      </c>
      <c r="H118" t="s">
        <v>136</v>
      </c>
      <c r="I118" t="s">
        <v>29</v>
      </c>
    </row>
    <row r="119" spans="2:9" ht="18.5" x14ac:dyDescent="0.45">
      <c r="B119" s="10" t="s">
        <v>140</v>
      </c>
      <c r="C119" s="2">
        <v>8.52</v>
      </c>
      <c r="D119" t="s">
        <v>139</v>
      </c>
      <c r="E119" s="4">
        <v>37.283003000000001</v>
      </c>
      <c r="F119" s="3">
        <v>127.15645499999999</v>
      </c>
      <c r="G119" t="s">
        <v>124</v>
      </c>
      <c r="H119" t="s">
        <v>122</v>
      </c>
      <c r="I119" t="s">
        <v>29</v>
      </c>
    </row>
    <row r="120" spans="2:9" ht="18.5" x14ac:dyDescent="0.45">
      <c r="B120" s="10" t="s">
        <v>142</v>
      </c>
      <c r="C120" s="2">
        <v>23.39</v>
      </c>
      <c r="D120" t="s">
        <v>141</v>
      </c>
      <c r="E120" s="5">
        <v>37.032921999999999</v>
      </c>
      <c r="F120" s="3">
        <v>127.23105200000001</v>
      </c>
      <c r="G120" t="s">
        <v>124</v>
      </c>
      <c r="H120" t="s">
        <v>126</v>
      </c>
      <c r="I120" t="s">
        <v>29</v>
      </c>
    </row>
    <row r="121" spans="2:9" ht="18.5" x14ac:dyDescent="0.45">
      <c r="B121" s="10" t="s">
        <v>144</v>
      </c>
      <c r="C121" s="2">
        <v>15.25</v>
      </c>
      <c r="D121" t="s">
        <v>143</v>
      </c>
      <c r="E121" s="5">
        <v>37.093114999999997</v>
      </c>
      <c r="F121" s="3">
        <v>126.905733</v>
      </c>
      <c r="G121" t="s">
        <v>124</v>
      </c>
      <c r="H121" t="s">
        <v>126</v>
      </c>
      <c r="I121" t="s">
        <v>29</v>
      </c>
    </row>
    <row r="122" spans="2:9" ht="18.5" x14ac:dyDescent="0.45">
      <c r="B122" s="10" t="s">
        <v>148</v>
      </c>
      <c r="C122" s="2">
        <v>19.47</v>
      </c>
      <c r="D122" t="s">
        <v>146</v>
      </c>
      <c r="E122" s="5">
        <v>36.546923</v>
      </c>
      <c r="F122" s="3">
        <v>127.19082</v>
      </c>
      <c r="G122" t="s">
        <v>147</v>
      </c>
      <c r="H122" t="s">
        <v>145</v>
      </c>
      <c r="I122" t="s">
        <v>29</v>
      </c>
    </row>
    <row r="123" spans="2:9" ht="18.5" x14ac:dyDescent="0.45">
      <c r="B123" s="10" t="s">
        <v>152</v>
      </c>
      <c r="C123" s="2">
        <v>73.819999999999993</v>
      </c>
      <c r="D123" t="s">
        <v>150</v>
      </c>
      <c r="E123" s="5">
        <v>36.655391999999999</v>
      </c>
      <c r="F123" s="3">
        <v>126.72904</v>
      </c>
      <c r="G123" t="s">
        <v>151</v>
      </c>
      <c r="H123" t="s">
        <v>149</v>
      </c>
      <c r="I123" t="s">
        <v>29</v>
      </c>
    </row>
    <row r="124" spans="2:9" ht="18.5" x14ac:dyDescent="0.45">
      <c r="B124" s="10" t="s">
        <v>154</v>
      </c>
      <c r="C124" s="2">
        <v>29</v>
      </c>
      <c r="D124" t="s">
        <v>153</v>
      </c>
      <c r="E124" s="5">
        <v>36.951746</v>
      </c>
      <c r="F124" s="3">
        <v>126.784339</v>
      </c>
      <c r="G124" t="s">
        <v>151</v>
      </c>
      <c r="H124" t="s">
        <v>126</v>
      </c>
      <c r="I124" t="s">
        <v>29</v>
      </c>
    </row>
    <row r="125" spans="2:9" ht="18.5" x14ac:dyDescent="0.45">
      <c r="B125" s="10" t="s">
        <v>157</v>
      </c>
      <c r="C125" s="2">
        <v>24.95</v>
      </c>
      <c r="D125" t="s">
        <v>156</v>
      </c>
      <c r="E125" s="5">
        <v>36.745877</v>
      </c>
      <c r="F125" s="3">
        <v>127.173529</v>
      </c>
      <c r="G125" t="s">
        <v>151</v>
      </c>
      <c r="H125" t="s">
        <v>155</v>
      </c>
      <c r="I125" t="s">
        <v>29</v>
      </c>
    </row>
    <row r="126" spans="2:9" ht="18.5" x14ac:dyDescent="0.45">
      <c r="B126" s="10" t="s">
        <v>161</v>
      </c>
      <c r="C126" s="2">
        <v>10.65</v>
      </c>
      <c r="D126" t="s">
        <v>159</v>
      </c>
      <c r="E126" s="5">
        <v>36.629368999999997</v>
      </c>
      <c r="F126" s="3">
        <v>127.374602</v>
      </c>
      <c r="G126" t="s">
        <v>160</v>
      </c>
      <c r="H126" t="s">
        <v>158</v>
      </c>
      <c r="I126" t="s">
        <v>29</v>
      </c>
    </row>
    <row r="127" spans="2:9" ht="18.5" x14ac:dyDescent="0.45">
      <c r="B127" s="10" t="s">
        <v>164</v>
      </c>
      <c r="C127" s="2">
        <v>5.45</v>
      </c>
      <c r="D127" t="s">
        <v>162</v>
      </c>
      <c r="E127" s="5">
        <v>36.335800999999996</v>
      </c>
      <c r="F127" s="3">
        <v>127.460532</v>
      </c>
      <c r="G127" t="s">
        <v>163</v>
      </c>
      <c r="H127" t="s">
        <v>131</v>
      </c>
      <c r="I127" t="s">
        <v>29</v>
      </c>
    </row>
    <row r="128" spans="2:9" ht="18.5" x14ac:dyDescent="0.45">
      <c r="B128" s="10" t="s">
        <v>559</v>
      </c>
      <c r="C128" s="2">
        <v>2.9</v>
      </c>
      <c r="D128" t="s">
        <v>166</v>
      </c>
      <c r="E128" s="5">
        <v>36.479402</v>
      </c>
      <c r="F128" s="3">
        <v>127.484566</v>
      </c>
      <c r="H128" t="s">
        <v>165</v>
      </c>
      <c r="I128" t="s">
        <v>29</v>
      </c>
    </row>
    <row r="129" spans="2:9" ht="18.5" x14ac:dyDescent="0.45">
      <c r="B129" s="10" t="s">
        <v>169</v>
      </c>
      <c r="C129" s="2">
        <v>12.12</v>
      </c>
      <c r="D129" t="s">
        <v>167</v>
      </c>
      <c r="E129" s="5">
        <v>38.034194999999997</v>
      </c>
      <c r="F129" s="3">
        <v>127.819007</v>
      </c>
      <c r="G129" t="s">
        <v>168</v>
      </c>
      <c r="H129" t="s">
        <v>145</v>
      </c>
      <c r="I129" t="s">
        <v>29</v>
      </c>
    </row>
    <row r="130" spans="2:9" ht="18.5" x14ac:dyDescent="0.45">
      <c r="B130" s="10" t="s">
        <v>171</v>
      </c>
      <c r="C130" s="2">
        <v>6.86</v>
      </c>
      <c r="D130" t="s">
        <v>351</v>
      </c>
      <c r="E130" s="5">
        <v>38.048397000000001</v>
      </c>
      <c r="F130" s="3">
        <v>127.99153</v>
      </c>
      <c r="G130" t="s">
        <v>168</v>
      </c>
      <c r="H130" t="s">
        <v>170</v>
      </c>
      <c r="I130" t="s">
        <v>29</v>
      </c>
    </row>
    <row r="131" spans="2:9" ht="18.5" x14ac:dyDescent="0.45">
      <c r="B131" s="10" t="s">
        <v>174</v>
      </c>
      <c r="C131" s="2">
        <v>41.54</v>
      </c>
      <c r="D131" t="s">
        <v>173</v>
      </c>
      <c r="E131" s="5">
        <v>37.737726000000002</v>
      </c>
      <c r="F131" s="3">
        <v>127.930317</v>
      </c>
      <c r="G131" t="s">
        <v>168</v>
      </c>
      <c r="H131" t="s">
        <v>172</v>
      </c>
      <c r="I131" t="s">
        <v>29</v>
      </c>
    </row>
    <row r="132" spans="2:9" ht="18.5" x14ac:dyDescent="0.45">
      <c r="B132" s="10" t="s">
        <v>176</v>
      </c>
      <c r="C132" s="2">
        <v>19.670000000000002</v>
      </c>
      <c r="D132" t="s">
        <v>175</v>
      </c>
      <c r="E132" s="5">
        <v>37.471997999999999</v>
      </c>
      <c r="F132" s="3">
        <v>127.98178</v>
      </c>
      <c r="G132" t="s">
        <v>168</v>
      </c>
      <c r="H132" t="s">
        <v>126</v>
      </c>
      <c r="I132" t="s">
        <v>29</v>
      </c>
    </row>
    <row r="133" spans="2:9" ht="18.5" x14ac:dyDescent="0.45">
      <c r="B133" s="10" t="s">
        <v>176</v>
      </c>
      <c r="C133" s="2">
        <v>25.59</v>
      </c>
      <c r="D133" t="s">
        <v>177</v>
      </c>
      <c r="E133" s="5">
        <v>37.463467999999999</v>
      </c>
      <c r="F133" s="3">
        <v>128.04480699999999</v>
      </c>
      <c r="G133" t="s">
        <v>168</v>
      </c>
      <c r="H133" t="s">
        <v>155</v>
      </c>
      <c r="I133" t="s">
        <v>29</v>
      </c>
    </row>
    <row r="134" spans="2:9" ht="18.5" x14ac:dyDescent="0.45">
      <c r="B134" s="10" t="s">
        <v>179</v>
      </c>
      <c r="C134" s="2">
        <v>8.2100000000000009</v>
      </c>
      <c r="D134" t="s">
        <v>178</v>
      </c>
      <c r="E134" s="5">
        <v>37.385748</v>
      </c>
      <c r="F134" s="3">
        <v>127.950181</v>
      </c>
      <c r="G134" t="s">
        <v>168</v>
      </c>
      <c r="H134" t="s">
        <v>122</v>
      </c>
      <c r="I134" t="s">
        <v>29</v>
      </c>
    </row>
    <row r="135" spans="2:9" ht="18.5" x14ac:dyDescent="0.45">
      <c r="B135" s="10" t="s">
        <v>181</v>
      </c>
      <c r="C135" s="2">
        <v>3.7</v>
      </c>
      <c r="D135" t="s">
        <v>180</v>
      </c>
      <c r="E135" s="5">
        <v>37.898260999999998</v>
      </c>
      <c r="F135" s="3">
        <v>127.755825</v>
      </c>
      <c r="G135" t="s">
        <v>168</v>
      </c>
      <c r="H135" t="s">
        <v>131</v>
      </c>
      <c r="I135" t="s">
        <v>29</v>
      </c>
    </row>
    <row r="136" spans="2:9" ht="18.5" x14ac:dyDescent="0.45">
      <c r="C136" s="2">
        <v>1.46</v>
      </c>
      <c r="D136" t="s">
        <v>182</v>
      </c>
      <c r="E136" s="5">
        <v>37.676825999999998</v>
      </c>
      <c r="F136" s="3">
        <v>127.882097</v>
      </c>
      <c r="H136" t="s">
        <v>165</v>
      </c>
      <c r="I136" t="s">
        <v>29</v>
      </c>
    </row>
    <row r="137" spans="2:9" ht="18.5" x14ac:dyDescent="0.45">
      <c r="C137" s="2">
        <v>1.71</v>
      </c>
      <c r="D137" t="s">
        <v>183</v>
      </c>
      <c r="E137" s="5">
        <v>38.038167999999999</v>
      </c>
      <c r="F137" s="3">
        <v>127.921099</v>
      </c>
      <c r="H137" t="s">
        <v>165</v>
      </c>
      <c r="I137" t="s">
        <v>29</v>
      </c>
    </row>
    <row r="138" spans="2:9" ht="18.5" x14ac:dyDescent="0.45">
      <c r="C138" s="2">
        <v>6.78</v>
      </c>
      <c r="D138" t="s">
        <v>185</v>
      </c>
      <c r="E138" s="5">
        <v>35.079434999999997</v>
      </c>
      <c r="F138" s="3">
        <v>128.832571</v>
      </c>
      <c r="H138" t="s">
        <v>184</v>
      </c>
      <c r="I138" t="s">
        <v>29</v>
      </c>
    </row>
    <row r="139" spans="2:9" ht="18.5" x14ac:dyDescent="0.45">
      <c r="B139" s="10" t="s">
        <v>188</v>
      </c>
      <c r="C139" s="2">
        <v>10.19</v>
      </c>
      <c r="D139" t="s">
        <v>186</v>
      </c>
      <c r="E139" s="5">
        <v>35.518448999999997</v>
      </c>
      <c r="F139" s="3">
        <v>129.351867</v>
      </c>
      <c r="G139" t="s">
        <v>187</v>
      </c>
      <c r="H139" t="s">
        <v>126</v>
      </c>
      <c r="I139" t="s">
        <v>29</v>
      </c>
    </row>
    <row r="140" spans="2:9" ht="18.5" x14ac:dyDescent="0.45">
      <c r="B140" s="10" t="s">
        <v>164</v>
      </c>
      <c r="C140" s="2">
        <v>10.35</v>
      </c>
      <c r="D140" t="s">
        <v>189</v>
      </c>
      <c r="E140" s="5">
        <v>35.864868999999999</v>
      </c>
      <c r="F140" s="3">
        <v>128.69491099999999</v>
      </c>
      <c r="G140" t="s">
        <v>190</v>
      </c>
      <c r="H140" t="s">
        <v>122</v>
      </c>
      <c r="I140" t="s">
        <v>29</v>
      </c>
    </row>
    <row r="141" spans="2:9" ht="18.5" x14ac:dyDescent="0.45">
      <c r="B141" s="10" t="s">
        <v>193</v>
      </c>
      <c r="C141" s="2">
        <v>179.33</v>
      </c>
      <c r="D141" t="s">
        <v>191</v>
      </c>
      <c r="E141" s="5">
        <v>35.703507000000002</v>
      </c>
      <c r="F141" s="3">
        <v>128.79958199999999</v>
      </c>
      <c r="G141" t="s">
        <v>192</v>
      </c>
      <c r="H141" t="s">
        <v>155</v>
      </c>
      <c r="I141" t="s">
        <v>29</v>
      </c>
    </row>
    <row r="142" spans="2:9" ht="18.5" x14ac:dyDescent="0.45">
      <c r="B142" s="10" t="s">
        <v>196</v>
      </c>
      <c r="C142" s="2">
        <v>10.54</v>
      </c>
      <c r="D142" t="s">
        <v>194</v>
      </c>
      <c r="E142" s="5">
        <v>35.456940000000003</v>
      </c>
      <c r="F142" s="3">
        <v>128.76009999999999</v>
      </c>
      <c r="G142" t="s">
        <v>195</v>
      </c>
      <c r="H142" t="s">
        <v>145</v>
      </c>
      <c r="I142" t="s">
        <v>29</v>
      </c>
    </row>
    <row r="143" spans="2:9" ht="18.5" x14ac:dyDescent="0.45">
      <c r="B143" s="10" t="s">
        <v>198</v>
      </c>
      <c r="C143" s="2">
        <v>10.16</v>
      </c>
      <c r="D143" t="s">
        <v>197</v>
      </c>
      <c r="E143" s="5">
        <v>35.228374000000002</v>
      </c>
      <c r="F143" s="3">
        <v>128.681916</v>
      </c>
      <c r="G143" t="s">
        <v>195</v>
      </c>
      <c r="H143" t="s">
        <v>122</v>
      </c>
      <c r="I143" t="s">
        <v>29</v>
      </c>
    </row>
    <row r="144" spans="2:9" ht="18.5" x14ac:dyDescent="0.45">
      <c r="B144" s="10" t="s">
        <v>198</v>
      </c>
      <c r="C144" s="2">
        <v>6.87</v>
      </c>
      <c r="D144" t="s">
        <v>199</v>
      </c>
      <c r="E144" s="5">
        <v>35.209578999999998</v>
      </c>
      <c r="F144" s="3">
        <v>128.650362</v>
      </c>
      <c r="G144" t="s">
        <v>195</v>
      </c>
      <c r="H144" t="s">
        <v>126</v>
      </c>
      <c r="I144" t="s">
        <v>29</v>
      </c>
    </row>
    <row r="145" spans="2:9" ht="18.5" x14ac:dyDescent="0.45">
      <c r="B145" s="10" t="s">
        <v>201</v>
      </c>
      <c r="C145" s="2">
        <v>3.83</v>
      </c>
      <c r="D145" t="s">
        <v>200</v>
      </c>
      <c r="E145" s="5">
        <v>35.250535999999997</v>
      </c>
      <c r="F145" s="3">
        <v>128.90119899999999</v>
      </c>
      <c r="G145" t="s">
        <v>195</v>
      </c>
      <c r="H145" t="s">
        <v>131</v>
      </c>
      <c r="I145" t="s">
        <v>29</v>
      </c>
    </row>
    <row r="146" spans="2:9" ht="18.5" x14ac:dyDescent="0.45">
      <c r="C146" s="2">
        <v>3.19</v>
      </c>
      <c r="D146" t="s">
        <v>352</v>
      </c>
      <c r="E146" s="5">
        <v>35.839278</v>
      </c>
      <c r="F146" s="3">
        <v>129.07393200000001</v>
      </c>
      <c r="H146" t="s">
        <v>165</v>
      </c>
      <c r="I146" t="s">
        <v>29</v>
      </c>
    </row>
    <row r="147" spans="2:9" ht="18.5" x14ac:dyDescent="0.45">
      <c r="B147" s="10" t="s">
        <v>204</v>
      </c>
      <c r="C147" s="2">
        <v>16.079999999999998</v>
      </c>
      <c r="D147" t="s">
        <v>202</v>
      </c>
      <c r="E147" s="5">
        <v>35.620561000000002</v>
      </c>
      <c r="F147" s="3">
        <v>127.509556</v>
      </c>
      <c r="G147" t="s">
        <v>203</v>
      </c>
      <c r="H147" t="s">
        <v>145</v>
      </c>
      <c r="I147" t="s">
        <v>29</v>
      </c>
    </row>
    <row r="148" spans="2:9" ht="18.5" x14ac:dyDescent="0.45">
      <c r="B148" s="10" t="s">
        <v>206</v>
      </c>
      <c r="C148" s="2">
        <v>63.93</v>
      </c>
      <c r="D148" t="s">
        <v>205</v>
      </c>
      <c r="E148" s="5">
        <v>35.487202000000003</v>
      </c>
      <c r="F148" s="3">
        <v>127.475537</v>
      </c>
      <c r="G148" t="s">
        <v>203</v>
      </c>
      <c r="H148" t="s">
        <v>155</v>
      </c>
      <c r="I148" t="s">
        <v>29</v>
      </c>
    </row>
    <row r="149" spans="2:9" ht="18.5" x14ac:dyDescent="0.45">
      <c r="B149" s="10" t="s">
        <v>208</v>
      </c>
      <c r="C149" s="2">
        <v>18.329999999999998</v>
      </c>
      <c r="D149" t="s">
        <v>207</v>
      </c>
      <c r="E149" s="5">
        <v>35.420447000000003</v>
      </c>
      <c r="F149" s="3">
        <v>126.684662</v>
      </c>
      <c r="G149" t="s">
        <v>203</v>
      </c>
      <c r="H149" t="s">
        <v>126</v>
      </c>
      <c r="I149" t="s">
        <v>29</v>
      </c>
    </row>
    <row r="150" spans="2:9" ht="18.5" x14ac:dyDescent="0.45">
      <c r="B150" s="10" t="s">
        <v>208</v>
      </c>
      <c r="C150" s="2">
        <v>16.84</v>
      </c>
      <c r="D150" t="s">
        <v>209</v>
      </c>
      <c r="E150" s="5">
        <v>35.537528999999999</v>
      </c>
      <c r="F150" s="3">
        <v>126.73906599999999</v>
      </c>
      <c r="G150" t="s">
        <v>203</v>
      </c>
      <c r="H150" t="s">
        <v>170</v>
      </c>
      <c r="I150" t="s">
        <v>29</v>
      </c>
    </row>
    <row r="151" spans="2:9" ht="18.5" x14ac:dyDescent="0.45">
      <c r="B151" s="10" t="s">
        <v>211</v>
      </c>
      <c r="C151" s="2">
        <v>73.91</v>
      </c>
      <c r="D151" t="s">
        <v>210</v>
      </c>
      <c r="E151" s="5">
        <v>35.581555999999999</v>
      </c>
      <c r="F151" s="3">
        <v>126.77264</v>
      </c>
      <c r="G151" t="s">
        <v>203</v>
      </c>
      <c r="H151" t="s">
        <v>48</v>
      </c>
      <c r="I151" t="s">
        <v>29</v>
      </c>
    </row>
    <row r="152" spans="2:9" ht="18.5" x14ac:dyDescent="0.45">
      <c r="B152" s="10" t="s">
        <v>213</v>
      </c>
      <c r="C152" s="2">
        <v>23.73</v>
      </c>
      <c r="D152" t="s">
        <v>212</v>
      </c>
      <c r="E152" s="5">
        <v>35.696272</v>
      </c>
      <c r="F152" s="3">
        <v>126.771833</v>
      </c>
      <c r="G152" t="s">
        <v>203</v>
      </c>
      <c r="H152" t="s">
        <v>170</v>
      </c>
      <c r="I152" t="s">
        <v>29</v>
      </c>
    </row>
    <row r="153" spans="2:9" ht="18.5" x14ac:dyDescent="0.45">
      <c r="B153" s="10" t="s">
        <v>215</v>
      </c>
      <c r="C153" s="2">
        <v>51.39</v>
      </c>
      <c r="D153" t="s">
        <v>214</v>
      </c>
      <c r="E153" s="5">
        <v>35.978147999999997</v>
      </c>
      <c r="F153" s="3">
        <v>126.652877</v>
      </c>
      <c r="G153" t="s">
        <v>203</v>
      </c>
      <c r="H153" t="s">
        <v>126</v>
      </c>
      <c r="I153" t="s">
        <v>29</v>
      </c>
    </row>
    <row r="154" spans="2:9" ht="18.5" x14ac:dyDescent="0.45">
      <c r="B154" s="10" t="s">
        <v>217</v>
      </c>
      <c r="C154" s="2">
        <v>19</v>
      </c>
      <c r="D154" t="s">
        <v>216</v>
      </c>
      <c r="E154" s="5">
        <v>35.972231999999998</v>
      </c>
      <c r="F154" s="3">
        <v>126.955747</v>
      </c>
      <c r="G154" t="s">
        <v>203</v>
      </c>
      <c r="H154" t="s">
        <v>131</v>
      </c>
      <c r="I154" t="s">
        <v>29</v>
      </c>
    </row>
    <row r="155" spans="2:9" ht="18.5" x14ac:dyDescent="0.45">
      <c r="B155" s="10" t="s">
        <v>222</v>
      </c>
      <c r="C155" s="2">
        <v>13.79</v>
      </c>
      <c r="D155" t="s">
        <v>218</v>
      </c>
      <c r="E155" s="5">
        <v>34.927773000000002</v>
      </c>
      <c r="F155" s="3">
        <v>126.389015</v>
      </c>
      <c r="H155" t="s">
        <v>184</v>
      </c>
      <c r="I155" t="s">
        <v>29</v>
      </c>
    </row>
    <row r="156" spans="2:9" ht="18.5" x14ac:dyDescent="0.45">
      <c r="B156" s="10" t="s">
        <v>222</v>
      </c>
      <c r="C156" s="2">
        <v>5.44</v>
      </c>
      <c r="D156" t="s">
        <v>220</v>
      </c>
      <c r="E156" s="5">
        <v>34.908605000000001</v>
      </c>
      <c r="F156" s="3">
        <v>126.434781</v>
      </c>
      <c r="G156" t="s">
        <v>221</v>
      </c>
      <c r="H156" t="s">
        <v>219</v>
      </c>
      <c r="I156" t="s">
        <v>29</v>
      </c>
    </row>
    <row r="157" spans="2:9" ht="18.5" x14ac:dyDescent="0.45">
      <c r="B157" s="10" t="s">
        <v>353</v>
      </c>
      <c r="C157" s="2">
        <v>3.31</v>
      </c>
      <c r="D157" t="s">
        <v>223</v>
      </c>
      <c r="E157" s="5">
        <v>35.768839999999997</v>
      </c>
      <c r="F157" s="3">
        <v>127.412375</v>
      </c>
      <c r="H157" t="s">
        <v>165</v>
      </c>
      <c r="I157" t="s">
        <v>29</v>
      </c>
    </row>
    <row r="158" spans="2:9" x14ac:dyDescent="0.45">
      <c r="B158" s="10" t="s">
        <v>225</v>
      </c>
      <c r="C158" s="2">
        <v>24.68</v>
      </c>
      <c r="D158" t="s">
        <v>224</v>
      </c>
      <c r="G158" t="s">
        <v>124</v>
      </c>
      <c r="I158" t="s">
        <v>226</v>
      </c>
    </row>
    <row r="159" spans="2:9" x14ac:dyDescent="0.45">
      <c r="B159" s="10" t="s">
        <v>228</v>
      </c>
      <c r="C159" s="2">
        <v>20.079999999999998</v>
      </c>
      <c r="D159" t="s">
        <v>227</v>
      </c>
      <c r="G159" t="s">
        <v>124</v>
      </c>
      <c r="I159" t="s">
        <v>226</v>
      </c>
    </row>
    <row r="160" spans="2:9" x14ac:dyDescent="0.45">
      <c r="B160" s="10" t="s">
        <v>231</v>
      </c>
      <c r="C160" s="2">
        <v>11.65</v>
      </c>
      <c r="D160" t="s">
        <v>229</v>
      </c>
      <c r="G160" t="s">
        <v>230</v>
      </c>
      <c r="I160" t="s">
        <v>232</v>
      </c>
    </row>
    <row r="161" spans="2:9" x14ac:dyDescent="0.45">
      <c r="B161" s="10" t="s">
        <v>235</v>
      </c>
      <c r="C161" s="2">
        <v>30.2</v>
      </c>
      <c r="D161" t="s">
        <v>233</v>
      </c>
      <c r="G161" t="s">
        <v>234</v>
      </c>
      <c r="I161" t="s">
        <v>236</v>
      </c>
    </row>
    <row r="162" spans="2:9" x14ac:dyDescent="0.45">
      <c r="B162" s="10" t="s">
        <v>235</v>
      </c>
      <c r="C162" s="2">
        <v>24.93</v>
      </c>
      <c r="D162" t="s">
        <v>237</v>
      </c>
      <c r="G162" t="s">
        <v>234</v>
      </c>
      <c r="I162" t="s">
        <v>236</v>
      </c>
    </row>
    <row r="163" spans="2:9" x14ac:dyDescent="0.45">
      <c r="B163" s="10" t="s">
        <v>235</v>
      </c>
      <c r="C163" s="2">
        <v>36.770000000000003</v>
      </c>
      <c r="D163" t="s">
        <v>238</v>
      </c>
      <c r="G163" t="s">
        <v>234</v>
      </c>
      <c r="I163" t="s">
        <v>236</v>
      </c>
    </row>
    <row r="164" spans="2:9" x14ac:dyDescent="0.45">
      <c r="B164" s="10" t="s">
        <v>235</v>
      </c>
      <c r="C164" s="2">
        <v>21.05</v>
      </c>
      <c r="D164" t="s">
        <v>239</v>
      </c>
      <c r="G164" t="s">
        <v>234</v>
      </c>
      <c r="I164" t="s">
        <v>236</v>
      </c>
    </row>
    <row r="165" spans="2:9" x14ac:dyDescent="0.45">
      <c r="B165" s="10" t="s">
        <v>235</v>
      </c>
      <c r="C165" s="2">
        <v>12.75</v>
      </c>
      <c r="D165" t="s">
        <v>240</v>
      </c>
      <c r="G165" t="s">
        <v>234</v>
      </c>
      <c r="I165" t="s">
        <v>236</v>
      </c>
    </row>
    <row r="166" spans="2:9" x14ac:dyDescent="0.45">
      <c r="B166" s="10" t="s">
        <v>243</v>
      </c>
      <c r="C166" s="2">
        <v>28.55</v>
      </c>
      <c r="D166" t="s">
        <v>241</v>
      </c>
      <c r="G166" t="s">
        <v>242</v>
      </c>
      <c r="I166" t="s">
        <v>244</v>
      </c>
    </row>
    <row r="167" spans="2:9" x14ac:dyDescent="0.45">
      <c r="B167" s="10" t="s">
        <v>243</v>
      </c>
      <c r="C167" s="2">
        <v>31.38</v>
      </c>
      <c r="D167" t="s">
        <v>245</v>
      </c>
      <c r="G167" t="s">
        <v>242</v>
      </c>
      <c r="I167" t="s">
        <v>244</v>
      </c>
    </row>
    <row r="168" spans="2:9" x14ac:dyDescent="0.45">
      <c r="B168" s="10" t="s">
        <v>243</v>
      </c>
      <c r="C168" s="2">
        <v>31.07</v>
      </c>
      <c r="D168" t="s">
        <v>246</v>
      </c>
      <c r="G168" t="s">
        <v>242</v>
      </c>
      <c r="I168" t="s">
        <v>244</v>
      </c>
    </row>
    <row r="169" spans="2:9" x14ac:dyDescent="0.45">
      <c r="B169" s="10" t="s">
        <v>248</v>
      </c>
      <c r="C169" s="2">
        <v>24.75</v>
      </c>
      <c r="D169" t="s">
        <v>247</v>
      </c>
      <c r="G169" t="s">
        <v>242</v>
      </c>
      <c r="I169" t="s">
        <v>244</v>
      </c>
    </row>
    <row r="170" spans="2:9" x14ac:dyDescent="0.45">
      <c r="B170" s="10" t="s">
        <v>248</v>
      </c>
      <c r="C170" s="2">
        <v>28.67</v>
      </c>
      <c r="D170" t="s">
        <v>249</v>
      </c>
      <c r="G170" t="s">
        <v>242</v>
      </c>
      <c r="I170" t="s">
        <v>244</v>
      </c>
    </row>
    <row r="171" spans="2:9" x14ac:dyDescent="0.45">
      <c r="B171" s="10" t="s">
        <v>248</v>
      </c>
      <c r="C171" s="2">
        <v>23.42</v>
      </c>
      <c r="D171" t="s">
        <v>250</v>
      </c>
      <c r="G171" t="s">
        <v>242</v>
      </c>
      <c r="I171" t="s">
        <v>244</v>
      </c>
    </row>
    <row r="172" spans="2:9" x14ac:dyDescent="0.45">
      <c r="B172" s="10" t="s">
        <v>243</v>
      </c>
      <c r="C172" s="2">
        <v>54.17</v>
      </c>
      <c r="D172" t="s">
        <v>251</v>
      </c>
      <c r="G172" t="s">
        <v>242</v>
      </c>
      <c r="I172" t="s">
        <v>244</v>
      </c>
    </row>
    <row r="173" spans="2:9" x14ac:dyDescent="0.45">
      <c r="B173" s="10" t="s">
        <v>243</v>
      </c>
      <c r="C173" s="2">
        <v>108.12</v>
      </c>
      <c r="D173" t="s">
        <v>252</v>
      </c>
      <c r="G173" t="s">
        <v>242</v>
      </c>
      <c r="I173" t="s">
        <v>244</v>
      </c>
    </row>
    <row r="174" spans="2:9" x14ac:dyDescent="0.45">
      <c r="B174" s="10" t="s">
        <v>248</v>
      </c>
      <c r="C174" s="2">
        <v>42.27</v>
      </c>
      <c r="D174" t="s">
        <v>253</v>
      </c>
      <c r="G174" t="s">
        <v>242</v>
      </c>
      <c r="I174" t="s">
        <v>244</v>
      </c>
    </row>
    <row r="175" spans="2:9" x14ac:dyDescent="0.45">
      <c r="B175" s="10" t="s">
        <v>248</v>
      </c>
      <c r="C175" s="2">
        <v>29.33</v>
      </c>
      <c r="D175" t="s">
        <v>254</v>
      </c>
      <c r="G175" t="s">
        <v>242</v>
      </c>
      <c r="I175" t="s">
        <v>244</v>
      </c>
    </row>
    <row r="176" spans="2:9" x14ac:dyDescent="0.45">
      <c r="B176" s="10" t="s">
        <v>248</v>
      </c>
      <c r="C176" s="2">
        <v>168.74</v>
      </c>
      <c r="D176" t="s">
        <v>255</v>
      </c>
      <c r="G176" t="s">
        <v>242</v>
      </c>
      <c r="I176" t="s">
        <v>244</v>
      </c>
    </row>
    <row r="177" spans="2:13" x14ac:dyDescent="0.45">
      <c r="B177" s="10" t="s">
        <v>248</v>
      </c>
      <c r="C177" s="2">
        <v>10.7</v>
      </c>
      <c r="D177" t="s">
        <v>256</v>
      </c>
      <c r="G177" t="s">
        <v>242</v>
      </c>
      <c r="I177" t="s">
        <v>244</v>
      </c>
    </row>
    <row r="178" spans="2:13" x14ac:dyDescent="0.45">
      <c r="B178" s="10" t="s">
        <v>248</v>
      </c>
      <c r="C178" s="2">
        <v>14.51</v>
      </c>
      <c r="D178" t="s">
        <v>257</v>
      </c>
      <c r="G178" t="s">
        <v>242</v>
      </c>
      <c r="I178" t="s">
        <v>244</v>
      </c>
    </row>
    <row r="179" spans="2:13" x14ac:dyDescent="0.45">
      <c r="B179" s="10" t="s">
        <v>248</v>
      </c>
      <c r="C179" s="2">
        <v>3.56</v>
      </c>
      <c r="D179" t="s">
        <v>258</v>
      </c>
      <c r="G179" t="s">
        <v>242</v>
      </c>
      <c r="I179" t="s">
        <v>244</v>
      </c>
    </row>
    <row r="180" spans="2:13" x14ac:dyDescent="0.45">
      <c r="B180" s="10" t="s">
        <v>248</v>
      </c>
      <c r="C180" s="2">
        <v>2.13</v>
      </c>
      <c r="D180" t="s">
        <v>259</v>
      </c>
      <c r="G180" t="s">
        <v>242</v>
      </c>
      <c r="I180" t="s">
        <v>244</v>
      </c>
    </row>
    <row r="181" spans="2:13" x14ac:dyDescent="0.45">
      <c r="B181" s="10" t="s">
        <v>248</v>
      </c>
      <c r="C181" s="2">
        <v>11.08</v>
      </c>
      <c r="D181" t="s">
        <v>260</v>
      </c>
      <c r="G181" t="s">
        <v>242</v>
      </c>
      <c r="I181" t="s">
        <v>244</v>
      </c>
    </row>
    <row r="182" spans="2:13" x14ac:dyDescent="0.45">
      <c r="B182" s="10" t="s">
        <v>248</v>
      </c>
      <c r="C182" s="2">
        <v>4.1900000000000004</v>
      </c>
      <c r="D182" t="s">
        <v>261</v>
      </c>
      <c r="G182" t="s">
        <v>242</v>
      </c>
      <c r="I182" t="s">
        <v>244</v>
      </c>
    </row>
    <row r="183" spans="2:13" x14ac:dyDescent="0.45">
      <c r="B183" s="10" t="s">
        <v>264</v>
      </c>
      <c r="C183" s="2">
        <v>23.57</v>
      </c>
      <c r="D183" t="s">
        <v>262</v>
      </c>
      <c r="G183" t="s">
        <v>263</v>
      </c>
      <c r="I183" t="s">
        <v>265</v>
      </c>
    </row>
    <row r="184" spans="2:13" x14ac:dyDescent="0.45">
      <c r="B184" s="10" t="s">
        <v>267</v>
      </c>
      <c r="C184" s="2">
        <v>4.5999999999999996</v>
      </c>
      <c r="D184" t="s">
        <v>266</v>
      </c>
      <c r="E184" s="39">
        <v>37.520856999999999</v>
      </c>
      <c r="F184" s="3">
        <v>127.12146199999999</v>
      </c>
      <c r="G184" t="s">
        <v>133</v>
      </c>
      <c r="I184" t="s">
        <v>268</v>
      </c>
    </row>
    <row r="185" spans="2:13" x14ac:dyDescent="0.45">
      <c r="B185" s="10" t="s">
        <v>271</v>
      </c>
      <c r="C185" s="2">
        <v>5.4049999999999994</v>
      </c>
      <c r="D185" t="s">
        <v>269</v>
      </c>
      <c r="E185" s="39">
        <v>37.610377999999997</v>
      </c>
      <c r="F185" s="3">
        <v>126.93315800000001</v>
      </c>
      <c r="G185" t="s">
        <v>270</v>
      </c>
      <c r="I185" t="s">
        <v>110</v>
      </c>
    </row>
    <row r="186" spans="2:13" x14ac:dyDescent="0.45">
      <c r="B186" s="10" t="s">
        <v>273</v>
      </c>
      <c r="C186" s="2">
        <v>8.77</v>
      </c>
      <c r="D186" t="s">
        <v>272</v>
      </c>
      <c r="E186" s="39">
        <v>36.372332999999998</v>
      </c>
      <c r="F186" s="3">
        <v>127.374337</v>
      </c>
      <c r="G186" t="s">
        <v>163</v>
      </c>
      <c r="I186" t="s">
        <v>110</v>
      </c>
    </row>
    <row r="187" spans="2:13" x14ac:dyDescent="0.45">
      <c r="B187" s="10" t="s">
        <v>56</v>
      </c>
      <c r="C187" s="2">
        <v>9.2025000000000006</v>
      </c>
      <c r="D187" t="s">
        <v>274</v>
      </c>
      <c r="E187" s="39">
        <v>35.226734999999998</v>
      </c>
      <c r="F187" s="3">
        <v>126.84882899999999</v>
      </c>
      <c r="G187" t="s">
        <v>275</v>
      </c>
      <c r="I187" t="s">
        <v>110</v>
      </c>
    </row>
    <row r="188" spans="2:13" x14ac:dyDescent="0.45">
      <c r="B188" s="10" t="s">
        <v>273</v>
      </c>
      <c r="C188" s="2">
        <v>3.46</v>
      </c>
      <c r="D188" t="s">
        <v>276</v>
      </c>
      <c r="E188" s="39">
        <v>35.581350999999998</v>
      </c>
      <c r="F188" s="3">
        <v>129.32411400000001</v>
      </c>
      <c r="G188" t="s">
        <v>187</v>
      </c>
      <c r="I188" t="s">
        <v>110</v>
      </c>
    </row>
    <row r="189" spans="2:13" x14ac:dyDescent="0.45">
      <c r="B189" s="10" t="s">
        <v>204</v>
      </c>
      <c r="C189" s="2">
        <v>9.1999999999999993</v>
      </c>
      <c r="D189" t="s">
        <v>278</v>
      </c>
      <c r="E189" s="39">
        <v>35.618552999999999</v>
      </c>
      <c r="F189" s="3">
        <v>127.510639</v>
      </c>
      <c r="G189" t="s">
        <v>279</v>
      </c>
      <c r="H189" t="s">
        <v>277</v>
      </c>
      <c r="I189" t="s">
        <v>280</v>
      </c>
    </row>
    <row r="190" spans="2:13" x14ac:dyDescent="0.45">
      <c r="B190" s="10" t="s">
        <v>283</v>
      </c>
      <c r="C190" s="2">
        <v>9</v>
      </c>
      <c r="D190" t="s">
        <v>282</v>
      </c>
      <c r="E190" s="39">
        <v>35.901449</v>
      </c>
      <c r="F190" s="3">
        <v>127.084542</v>
      </c>
      <c r="G190" t="s">
        <v>279</v>
      </c>
      <c r="H190" t="s">
        <v>281</v>
      </c>
      <c r="I190" t="s">
        <v>280</v>
      </c>
    </row>
    <row r="191" spans="2:13" x14ac:dyDescent="0.45">
      <c r="B191" s="10" t="s">
        <v>211</v>
      </c>
      <c r="C191" s="2">
        <v>13.2</v>
      </c>
      <c r="D191" t="s">
        <v>284</v>
      </c>
      <c r="E191" s="39">
        <v>35.741951999999998</v>
      </c>
      <c r="F191" s="3">
        <v>126.886785</v>
      </c>
      <c r="G191" t="s">
        <v>279</v>
      </c>
      <c r="H191" t="s">
        <v>49</v>
      </c>
      <c r="I191" t="s">
        <v>280</v>
      </c>
    </row>
    <row r="192" spans="2:13" x14ac:dyDescent="0.45">
      <c r="B192" s="10" t="s">
        <v>208</v>
      </c>
      <c r="C192" s="2">
        <v>9.6999999999999993</v>
      </c>
      <c r="D192" t="s">
        <v>285</v>
      </c>
      <c r="E192" s="39">
        <v>35.348077000000004</v>
      </c>
      <c r="F192" s="3">
        <v>126.59861100000001</v>
      </c>
      <c r="G192" t="s">
        <v>279</v>
      </c>
      <c r="H192" t="s">
        <v>47</v>
      </c>
      <c r="I192" t="s">
        <v>280</v>
      </c>
      <c r="J192" s="1"/>
      <c r="K192" s="1"/>
      <c r="L192" s="1"/>
      <c r="M192" s="1"/>
    </row>
    <row r="193" spans="1:13" x14ac:dyDescent="0.45">
      <c r="A193">
        <v>2021</v>
      </c>
      <c r="B193" s="10" t="s">
        <v>288</v>
      </c>
      <c r="C193" s="2">
        <v>75.400000000000006</v>
      </c>
      <c r="D193" t="s">
        <v>287</v>
      </c>
      <c r="E193" s="39">
        <v>36.480550000000001</v>
      </c>
      <c r="F193" s="3">
        <v>126.554452</v>
      </c>
      <c r="G193" t="s">
        <v>234</v>
      </c>
      <c r="H193" t="s">
        <v>286</v>
      </c>
      <c r="I193" t="s">
        <v>289</v>
      </c>
      <c r="J193" s="1"/>
      <c r="K193" s="1"/>
      <c r="L193" s="1"/>
      <c r="M193" s="1"/>
    </row>
    <row r="194" spans="1:13" x14ac:dyDescent="0.45">
      <c r="A194">
        <v>2021</v>
      </c>
      <c r="B194" s="10" t="s">
        <v>291</v>
      </c>
      <c r="C194" s="2">
        <v>65.239999999999995</v>
      </c>
      <c r="D194" t="s">
        <v>290</v>
      </c>
      <c r="E194" s="39">
        <v>36.556978999999998</v>
      </c>
      <c r="F194" s="3">
        <v>126.70482199999999</v>
      </c>
      <c r="G194" t="s">
        <v>234</v>
      </c>
      <c r="H194" t="s">
        <v>286</v>
      </c>
      <c r="I194" t="s">
        <v>289</v>
      </c>
    </row>
    <row r="195" spans="1:13" x14ac:dyDescent="0.45">
      <c r="A195">
        <v>2021</v>
      </c>
      <c r="B195" s="10" t="s">
        <v>213</v>
      </c>
      <c r="C195" s="2">
        <v>21</v>
      </c>
      <c r="D195" t="s">
        <v>293</v>
      </c>
      <c r="E195" s="39">
        <v>35.774678000000002</v>
      </c>
      <c r="F195" s="3">
        <v>126.66744799999999</v>
      </c>
      <c r="G195" t="s">
        <v>279</v>
      </c>
      <c r="H195" t="s">
        <v>292</v>
      </c>
      <c r="I195" t="s">
        <v>294</v>
      </c>
    </row>
    <row r="196" spans="1:13" x14ac:dyDescent="0.45">
      <c r="A196">
        <v>2021</v>
      </c>
      <c r="B196" s="10" t="s">
        <v>297</v>
      </c>
      <c r="C196" s="2">
        <v>13.1</v>
      </c>
      <c r="D196" t="s">
        <v>296</v>
      </c>
      <c r="E196" s="39">
        <v>35.845801999999999</v>
      </c>
      <c r="F196" s="3">
        <v>127.133138</v>
      </c>
      <c r="G196" t="s">
        <v>279</v>
      </c>
      <c r="H196" t="s">
        <v>295</v>
      </c>
      <c r="I196" t="s">
        <v>298</v>
      </c>
    </row>
    <row r="197" spans="1:13" x14ac:dyDescent="0.45">
      <c r="A197">
        <v>2021</v>
      </c>
      <c r="B197" s="10" t="s">
        <v>297</v>
      </c>
      <c r="C197" s="2">
        <v>13.4</v>
      </c>
      <c r="D197" t="s">
        <v>300</v>
      </c>
      <c r="E197" s="39">
        <v>35.843167000000001</v>
      </c>
      <c r="F197" s="3">
        <v>127.10260100000001</v>
      </c>
      <c r="G197" t="s">
        <v>279</v>
      </c>
      <c r="H197" t="s">
        <v>299</v>
      </c>
      <c r="I197" t="s">
        <v>298</v>
      </c>
    </row>
    <row r="198" spans="1:13" x14ac:dyDescent="0.45">
      <c r="A198">
        <v>2021</v>
      </c>
      <c r="B198" s="10" t="s">
        <v>303</v>
      </c>
      <c r="C198" s="2">
        <v>12.5</v>
      </c>
      <c r="D198" t="s">
        <v>302</v>
      </c>
      <c r="E198" s="39">
        <v>35.838253999999999</v>
      </c>
      <c r="F198" s="3">
        <v>127.047932</v>
      </c>
      <c r="G198" t="s">
        <v>279</v>
      </c>
      <c r="H198" t="s">
        <v>301</v>
      </c>
      <c r="I198" t="s">
        <v>298</v>
      </c>
    </row>
    <row r="199" spans="1:13" x14ac:dyDescent="0.45">
      <c r="A199">
        <v>2021</v>
      </c>
      <c r="B199" s="10" t="s">
        <v>211</v>
      </c>
      <c r="C199" s="2">
        <v>37.1</v>
      </c>
      <c r="D199" t="s">
        <v>305</v>
      </c>
      <c r="E199" s="39">
        <v>35.660229999999999</v>
      </c>
      <c r="F199" s="3">
        <v>126.967298</v>
      </c>
      <c r="G199" t="s">
        <v>279</v>
      </c>
      <c r="H199" t="s">
        <v>304</v>
      </c>
      <c r="I199" t="s">
        <v>298</v>
      </c>
    </row>
    <row r="200" spans="1:13" x14ac:dyDescent="0.45">
      <c r="A200">
        <v>2021</v>
      </c>
      <c r="B200" s="10" t="s">
        <v>211</v>
      </c>
      <c r="C200" s="2">
        <v>161.1</v>
      </c>
      <c r="D200" t="s">
        <v>307</v>
      </c>
      <c r="E200" s="39">
        <v>35.662843000000002</v>
      </c>
      <c r="F200" s="3">
        <v>126.983396</v>
      </c>
      <c r="G200" t="s">
        <v>279</v>
      </c>
      <c r="H200" t="s">
        <v>306</v>
      </c>
      <c r="I200" t="s">
        <v>298</v>
      </c>
    </row>
    <row r="201" spans="1:13" x14ac:dyDescent="0.45">
      <c r="A201">
        <v>2021</v>
      </c>
      <c r="B201" s="10" t="s">
        <v>211</v>
      </c>
      <c r="C201" s="2">
        <v>19.8</v>
      </c>
      <c r="D201" t="s">
        <v>309</v>
      </c>
      <c r="E201" s="39">
        <v>35.654237999999999</v>
      </c>
      <c r="F201" s="3">
        <v>126.98576</v>
      </c>
      <c r="G201" t="s">
        <v>279</v>
      </c>
      <c r="H201" t="s">
        <v>308</v>
      </c>
      <c r="I201" t="s">
        <v>298</v>
      </c>
    </row>
    <row r="202" spans="1:13" x14ac:dyDescent="0.45">
      <c r="A202">
        <v>2021</v>
      </c>
      <c r="B202" s="10" t="s">
        <v>312</v>
      </c>
      <c r="C202" s="2">
        <v>37.5</v>
      </c>
      <c r="D202" t="s">
        <v>311</v>
      </c>
      <c r="E202" s="39">
        <v>35.749017000000002</v>
      </c>
      <c r="F202" s="3">
        <v>126.94375700000001</v>
      </c>
      <c r="G202" t="s">
        <v>279</v>
      </c>
      <c r="H202" t="s">
        <v>310</v>
      </c>
      <c r="I202" t="s">
        <v>298</v>
      </c>
    </row>
    <row r="203" spans="1:13" x14ac:dyDescent="0.45">
      <c r="A203">
        <v>2021</v>
      </c>
      <c r="B203" s="10" t="s">
        <v>312</v>
      </c>
      <c r="C203" s="2">
        <v>31.4</v>
      </c>
      <c r="D203" t="s">
        <v>314</v>
      </c>
      <c r="E203" s="39">
        <v>35.752704000000001</v>
      </c>
      <c r="F203" s="3">
        <v>126.93004999999999</v>
      </c>
      <c r="G203" t="s">
        <v>279</v>
      </c>
      <c r="H203" t="s">
        <v>313</v>
      </c>
      <c r="I203" t="s">
        <v>298</v>
      </c>
    </row>
    <row r="204" spans="1:13" x14ac:dyDescent="0.45">
      <c r="A204">
        <v>2021</v>
      </c>
      <c r="B204" s="10" t="s">
        <v>312</v>
      </c>
      <c r="C204" s="2">
        <v>35.5</v>
      </c>
      <c r="D204" t="s">
        <v>316</v>
      </c>
      <c r="E204" s="39">
        <v>35.759709999999998</v>
      </c>
      <c r="F204" s="3">
        <v>126.928314</v>
      </c>
      <c r="G204" t="s">
        <v>279</v>
      </c>
      <c r="H204" t="s">
        <v>315</v>
      </c>
      <c r="I204" t="s">
        <v>298</v>
      </c>
    </row>
    <row r="205" spans="1:13" x14ac:dyDescent="0.45">
      <c r="A205">
        <v>2021</v>
      </c>
      <c r="B205" s="10" t="s">
        <v>217</v>
      </c>
      <c r="C205" s="2">
        <v>23.26</v>
      </c>
      <c r="D205" t="s">
        <v>318</v>
      </c>
      <c r="E205" s="39">
        <v>36.022029000000003</v>
      </c>
      <c r="F205" s="3">
        <v>126.993087</v>
      </c>
      <c r="G205" t="s">
        <v>279</v>
      </c>
      <c r="H205" t="s">
        <v>317</v>
      </c>
      <c r="I205" t="s">
        <v>319</v>
      </c>
    </row>
    <row r="206" spans="1:13" x14ac:dyDescent="0.45">
      <c r="A206">
        <v>2021</v>
      </c>
      <c r="B206" s="10" t="s">
        <v>283</v>
      </c>
      <c r="C206" s="2">
        <v>26.63</v>
      </c>
      <c r="D206" t="s">
        <v>321</v>
      </c>
      <c r="E206" s="39">
        <v>35.953660999999997</v>
      </c>
      <c r="F206" s="3">
        <v>127.137472</v>
      </c>
      <c r="G206" t="s">
        <v>279</v>
      </c>
      <c r="H206" t="s">
        <v>320</v>
      </c>
      <c r="I206" t="s">
        <v>319</v>
      </c>
    </row>
    <row r="207" spans="1:13" x14ac:dyDescent="0.45">
      <c r="A207">
        <v>2021</v>
      </c>
      <c r="B207" s="10" t="s">
        <v>215</v>
      </c>
      <c r="C207" s="2">
        <v>79.62</v>
      </c>
      <c r="D207" t="s">
        <v>323</v>
      </c>
      <c r="E207" s="39">
        <v>35.952641</v>
      </c>
      <c r="F207" s="3">
        <v>126.589226</v>
      </c>
      <c r="G207" t="s">
        <v>279</v>
      </c>
      <c r="H207" t="s">
        <v>322</v>
      </c>
      <c r="I207" t="s">
        <v>319</v>
      </c>
    </row>
    <row r="208" spans="1:13" x14ac:dyDescent="0.45">
      <c r="A208">
        <v>2021</v>
      </c>
      <c r="B208" s="10" t="s">
        <v>211</v>
      </c>
      <c r="C208" s="2">
        <v>41.11</v>
      </c>
      <c r="D208" t="s">
        <v>325</v>
      </c>
      <c r="E208" s="39">
        <v>35.741898999999997</v>
      </c>
      <c r="F208" s="3">
        <v>126.886785</v>
      </c>
      <c r="G208" t="s">
        <v>279</v>
      </c>
      <c r="H208" t="s">
        <v>324</v>
      </c>
      <c r="I208" t="s">
        <v>319</v>
      </c>
    </row>
    <row r="209" spans="1:9" x14ac:dyDescent="0.45">
      <c r="A209">
        <v>2021</v>
      </c>
      <c r="B209" s="10" t="s">
        <v>283</v>
      </c>
      <c r="C209" s="2">
        <v>25.36</v>
      </c>
      <c r="D209" t="s">
        <v>282</v>
      </c>
      <c r="E209" s="39">
        <v>35.901465999999999</v>
      </c>
      <c r="F209" s="3">
        <v>127.084574</v>
      </c>
      <c r="G209" t="s">
        <v>279</v>
      </c>
      <c r="H209" t="s">
        <v>326</v>
      </c>
      <c r="I209" t="s">
        <v>319</v>
      </c>
    </row>
    <row r="210" spans="1:9" x14ac:dyDescent="0.45">
      <c r="A210">
        <v>2021</v>
      </c>
      <c r="B210" s="10" t="s">
        <v>329</v>
      </c>
      <c r="C210" s="2">
        <v>20.190000000000001</v>
      </c>
      <c r="D210" t="s">
        <v>328</v>
      </c>
      <c r="E210" s="39">
        <v>36.195082999999997</v>
      </c>
      <c r="F210" s="3">
        <v>127.131193</v>
      </c>
      <c r="G210" t="s">
        <v>234</v>
      </c>
      <c r="H210" t="s">
        <v>327</v>
      </c>
      <c r="I210" t="s">
        <v>319</v>
      </c>
    </row>
    <row r="211" spans="1:9" x14ac:dyDescent="0.45">
      <c r="A211">
        <v>2021</v>
      </c>
      <c r="B211" s="10" t="s">
        <v>329</v>
      </c>
      <c r="C211" s="2">
        <v>64.7</v>
      </c>
      <c r="D211" t="s">
        <v>331</v>
      </c>
      <c r="E211" s="39">
        <v>36.147233</v>
      </c>
      <c r="F211" s="3">
        <v>127.13265800000001</v>
      </c>
      <c r="G211" t="s">
        <v>234</v>
      </c>
      <c r="H211" t="s">
        <v>330</v>
      </c>
      <c r="I211" t="s">
        <v>319</v>
      </c>
    </row>
    <row r="212" spans="1:9" x14ac:dyDescent="0.45">
      <c r="A212">
        <v>2021</v>
      </c>
      <c r="B212" s="10" t="s">
        <v>333</v>
      </c>
      <c r="C212" s="2">
        <v>72.28</v>
      </c>
      <c r="D212" t="s">
        <v>332</v>
      </c>
      <c r="E212" s="39">
        <v>36.242341000000003</v>
      </c>
      <c r="F212" s="3">
        <v>127.007561</v>
      </c>
      <c r="G212" t="s">
        <v>234</v>
      </c>
      <c r="H212" t="s">
        <v>330</v>
      </c>
      <c r="I212" t="s">
        <v>319</v>
      </c>
    </row>
    <row r="213" spans="1:9" x14ac:dyDescent="0.45">
      <c r="A213">
        <v>2021</v>
      </c>
      <c r="B213" s="10" t="s">
        <v>329</v>
      </c>
      <c r="C213" s="2">
        <v>60.78</v>
      </c>
      <c r="D213" t="s">
        <v>335</v>
      </c>
      <c r="E213" s="39">
        <v>36.101596000000001</v>
      </c>
      <c r="F213" s="3">
        <v>127.07704699999999</v>
      </c>
      <c r="G213" t="s">
        <v>234</v>
      </c>
      <c r="H213" t="s">
        <v>334</v>
      </c>
      <c r="I213" t="s">
        <v>319</v>
      </c>
    </row>
    <row r="214" spans="1:9" x14ac:dyDescent="0.45">
      <c r="A214">
        <v>2021</v>
      </c>
      <c r="B214" s="10" t="s">
        <v>217</v>
      </c>
      <c r="C214" s="2">
        <v>17.260000000000002</v>
      </c>
      <c r="D214" t="s">
        <v>337</v>
      </c>
      <c r="E214" s="39">
        <v>35.955615999999999</v>
      </c>
      <c r="F214" s="3">
        <v>126.938936</v>
      </c>
      <c r="G214" t="s">
        <v>279</v>
      </c>
      <c r="H214" t="s">
        <v>336</v>
      </c>
      <c r="I214" t="s">
        <v>319</v>
      </c>
    </row>
    <row r="215" spans="1:9" x14ac:dyDescent="0.45">
      <c r="A215">
        <v>2021</v>
      </c>
      <c r="B215" s="10" t="s">
        <v>235</v>
      </c>
      <c r="C215" s="2">
        <v>12.64</v>
      </c>
      <c r="D215" t="s">
        <v>339</v>
      </c>
      <c r="E215" s="39">
        <v>36.776989999999998</v>
      </c>
      <c r="F215" s="3">
        <v>126.49404</v>
      </c>
      <c r="G215" t="s">
        <v>234</v>
      </c>
      <c r="H215" t="s">
        <v>338</v>
      </c>
      <c r="I215" t="s">
        <v>319</v>
      </c>
    </row>
    <row r="216" spans="1:9" x14ac:dyDescent="0.45">
      <c r="B216" s="10" t="s">
        <v>288</v>
      </c>
      <c r="C216" s="2">
        <v>85.3</v>
      </c>
      <c r="E216" s="40"/>
      <c r="G216" t="s">
        <v>234</v>
      </c>
      <c r="H216" t="s">
        <v>340</v>
      </c>
      <c r="I216" t="s">
        <v>15</v>
      </c>
    </row>
    <row r="217" spans="1:9" x14ac:dyDescent="0.45">
      <c r="B217" s="10" t="s">
        <v>291</v>
      </c>
      <c r="C217" s="2">
        <v>62.9</v>
      </c>
      <c r="E217" s="40"/>
      <c r="G217" t="s">
        <v>234</v>
      </c>
      <c r="H217" t="s">
        <v>341</v>
      </c>
      <c r="I217" t="s">
        <v>15</v>
      </c>
    </row>
    <row r="218" spans="1:9" x14ac:dyDescent="0.45">
      <c r="B218" s="10" t="s">
        <v>211</v>
      </c>
      <c r="C218" s="2">
        <v>118.7</v>
      </c>
      <c r="E218" s="40"/>
      <c r="G218" t="s">
        <v>279</v>
      </c>
      <c r="H218" t="s">
        <v>342</v>
      </c>
      <c r="I218" t="s">
        <v>19</v>
      </c>
    </row>
    <row r="219" spans="1:9" x14ac:dyDescent="0.45">
      <c r="B219" s="10" t="s">
        <v>211</v>
      </c>
      <c r="C219" s="2">
        <v>18.2</v>
      </c>
      <c r="E219" s="40"/>
      <c r="G219" t="s">
        <v>279</v>
      </c>
      <c r="H219" t="s">
        <v>343</v>
      </c>
      <c r="I219" t="s">
        <v>19</v>
      </c>
    </row>
    <row r="220" spans="1:9" x14ac:dyDescent="0.45">
      <c r="B220" s="10" t="s">
        <v>211</v>
      </c>
      <c r="C220" s="2">
        <v>30.4</v>
      </c>
      <c r="E220" s="40"/>
      <c r="G220" t="s">
        <v>279</v>
      </c>
      <c r="H220" t="s">
        <v>344</v>
      </c>
      <c r="I220" t="s">
        <v>19</v>
      </c>
    </row>
    <row r="221" spans="1:9" x14ac:dyDescent="0.45">
      <c r="B221" s="10" t="s">
        <v>297</v>
      </c>
      <c r="C221" s="2">
        <v>18.600000000000001</v>
      </c>
      <c r="E221" s="40"/>
      <c r="G221" t="s">
        <v>279</v>
      </c>
      <c r="H221" t="s">
        <v>345</v>
      </c>
      <c r="I221" t="s">
        <v>19</v>
      </c>
    </row>
    <row r="222" spans="1:9" x14ac:dyDescent="0.45">
      <c r="B222" s="10" t="s">
        <v>208</v>
      </c>
      <c r="C222" s="2">
        <v>14.85</v>
      </c>
      <c r="D222" t="s">
        <v>346</v>
      </c>
      <c r="E222" s="39">
        <v>35.348531999999999</v>
      </c>
      <c r="F222" s="3">
        <v>126.59840699999999</v>
      </c>
      <c r="G222" t="s">
        <v>279</v>
      </c>
      <c r="I222" t="s">
        <v>21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9C5B-A6BE-4ACC-94D8-3EAF902D3813}">
  <dimension ref="A1:L57"/>
  <sheetViews>
    <sheetView workbookViewId="0">
      <selection activeCell="J20" sqref="J20"/>
    </sheetView>
  </sheetViews>
  <sheetFormatPr defaultRowHeight="17" x14ac:dyDescent="0.45"/>
  <cols>
    <col min="1" max="1" width="6.5" style="10" bestFit="1" customWidth="1"/>
    <col min="2" max="2" width="5.4140625" style="10" customWidth="1"/>
    <col min="3" max="3" width="11.5" style="10" bestFit="1" customWidth="1"/>
    <col min="4" max="4" width="11.5" hidden="1" customWidth="1"/>
    <col min="5" max="5" width="19.9140625" bestFit="1" customWidth="1"/>
    <col min="6" max="6" width="5.6640625" customWidth="1"/>
    <col min="7" max="7" width="19.9140625" hidden="1" customWidth="1"/>
    <col min="8" max="8" width="16.9140625" bestFit="1" customWidth="1"/>
    <col min="9" max="9" width="8.4140625" style="10" bestFit="1" customWidth="1"/>
    <col min="10" max="10" width="9.4140625" style="10" bestFit="1" customWidth="1"/>
    <col min="11" max="11" width="38.5" style="10" bestFit="1" customWidth="1"/>
    <col min="12" max="12" width="17.5" customWidth="1"/>
  </cols>
  <sheetData>
    <row r="1" spans="1:12" x14ac:dyDescent="0.45">
      <c r="A1" s="17" t="s">
        <v>412</v>
      </c>
      <c r="B1" s="18" t="s">
        <v>554</v>
      </c>
      <c r="C1" s="18" t="s">
        <v>413</v>
      </c>
      <c r="D1" s="19"/>
      <c r="E1" s="19" t="s">
        <v>550</v>
      </c>
      <c r="F1" s="19" t="s">
        <v>554</v>
      </c>
      <c r="G1" s="19"/>
      <c r="H1" s="19" t="s">
        <v>551</v>
      </c>
      <c r="I1" s="18" t="s">
        <v>349</v>
      </c>
      <c r="J1" s="18" t="s">
        <v>350</v>
      </c>
      <c r="K1" s="24" t="s">
        <v>348</v>
      </c>
      <c r="L1" s="9" t="s">
        <v>552</v>
      </c>
    </row>
    <row r="2" spans="1:12" x14ac:dyDescent="0.45">
      <c r="A2" s="11" t="s">
        <v>507</v>
      </c>
      <c r="B2" s="10">
        <v>16</v>
      </c>
      <c r="C2" s="10" t="s">
        <v>479</v>
      </c>
      <c r="D2">
        <v>15.8</v>
      </c>
      <c r="E2" s="20">
        <f>D2*$L$3</f>
        <v>22.720400000000001</v>
      </c>
      <c r="F2">
        <v>6</v>
      </c>
      <c r="G2">
        <v>15.1</v>
      </c>
      <c r="H2" s="20">
        <f>G2*$L$3</f>
        <v>21.713799999999999</v>
      </c>
      <c r="I2" s="10">
        <v>37.608199999999997</v>
      </c>
      <c r="J2" s="27">
        <v>127.1527</v>
      </c>
      <c r="K2" s="25" t="s">
        <v>463</v>
      </c>
      <c r="L2" t="s">
        <v>553</v>
      </c>
    </row>
    <row r="3" spans="1:12" x14ac:dyDescent="0.45">
      <c r="A3" s="11" t="s">
        <v>508</v>
      </c>
      <c r="B3" s="10">
        <v>13</v>
      </c>
      <c r="C3" s="10" t="s">
        <v>406</v>
      </c>
      <c r="D3">
        <v>28.4</v>
      </c>
      <c r="E3" s="12">
        <f t="shared" ref="E3:E57" si="0">D3*$L$3</f>
        <v>40.839199999999998</v>
      </c>
      <c r="F3">
        <v>7</v>
      </c>
      <c r="G3">
        <v>15.8</v>
      </c>
      <c r="H3" s="12">
        <f t="shared" ref="H3:H50" si="1">G3*$L$3</f>
        <v>22.720400000000001</v>
      </c>
      <c r="I3" s="10">
        <v>37.742199999999997</v>
      </c>
      <c r="J3" s="25">
        <v>127.08159999999999</v>
      </c>
      <c r="K3" s="25" t="s">
        <v>127</v>
      </c>
      <c r="L3">
        <v>1.4379999999999999</v>
      </c>
    </row>
    <row r="4" spans="1:12" x14ac:dyDescent="0.45">
      <c r="A4" s="35" t="s">
        <v>509</v>
      </c>
      <c r="B4" s="10">
        <v>11</v>
      </c>
      <c r="C4" s="36" t="s">
        <v>406</v>
      </c>
      <c r="D4">
        <v>25.7</v>
      </c>
      <c r="E4" s="12">
        <f t="shared" si="0"/>
        <v>36.956599999999995</v>
      </c>
      <c r="F4">
        <v>10</v>
      </c>
      <c r="G4">
        <v>23.7</v>
      </c>
      <c r="H4" s="12">
        <f t="shared" si="1"/>
        <v>34.080599999999997</v>
      </c>
      <c r="I4" s="36">
        <v>37.880099999999999</v>
      </c>
      <c r="J4" s="37">
        <v>127.2028</v>
      </c>
      <c r="K4" s="37" t="s">
        <v>464</v>
      </c>
    </row>
    <row r="5" spans="1:12" x14ac:dyDescent="0.45">
      <c r="A5" s="35"/>
      <c r="B5" s="10">
        <v>14</v>
      </c>
      <c r="C5" s="36"/>
      <c r="D5">
        <v>14.8</v>
      </c>
      <c r="E5" s="12">
        <f t="shared" si="0"/>
        <v>21.282399999999999</v>
      </c>
      <c r="H5" s="12"/>
      <c r="I5" s="36"/>
      <c r="J5" s="37"/>
      <c r="K5" s="37"/>
    </row>
    <row r="6" spans="1:12" x14ac:dyDescent="0.45">
      <c r="A6" s="11" t="s">
        <v>510</v>
      </c>
      <c r="B6" s="10">
        <v>14</v>
      </c>
      <c r="C6" s="10" t="s">
        <v>404</v>
      </c>
      <c r="D6">
        <v>25.1</v>
      </c>
      <c r="E6" s="12">
        <f t="shared" si="0"/>
        <v>36.093800000000002</v>
      </c>
      <c r="H6" s="12"/>
      <c r="I6" s="10">
        <v>37.633299999999998</v>
      </c>
      <c r="J6" s="25">
        <v>127.0814</v>
      </c>
      <c r="K6" s="25" t="s">
        <v>465</v>
      </c>
    </row>
    <row r="7" spans="1:12" x14ac:dyDescent="0.45">
      <c r="A7" s="11" t="s">
        <v>511</v>
      </c>
      <c r="C7" s="10" t="s">
        <v>479</v>
      </c>
      <c r="E7" s="12"/>
      <c r="H7" s="12"/>
      <c r="I7" s="10">
        <v>37.296399999999998</v>
      </c>
      <c r="J7" s="25">
        <v>126.9846</v>
      </c>
      <c r="K7" s="25" t="s">
        <v>466</v>
      </c>
    </row>
    <row r="8" spans="1:12" x14ac:dyDescent="0.45">
      <c r="A8" s="11" t="s">
        <v>512</v>
      </c>
      <c r="C8" s="10" t="s">
        <v>480</v>
      </c>
      <c r="E8" s="12"/>
      <c r="F8">
        <v>7</v>
      </c>
      <c r="G8">
        <v>55.8</v>
      </c>
      <c r="H8" s="12">
        <f t="shared" si="1"/>
        <v>80.240399999999994</v>
      </c>
      <c r="I8" s="10">
        <v>37.340299999999999</v>
      </c>
      <c r="J8" s="25">
        <v>126.9796</v>
      </c>
      <c r="K8" s="25" t="s">
        <v>467</v>
      </c>
    </row>
    <row r="9" spans="1:12" x14ac:dyDescent="0.45">
      <c r="A9" s="11" t="s">
        <v>513</v>
      </c>
      <c r="C9" s="10" t="s">
        <v>479</v>
      </c>
      <c r="E9" s="12"/>
      <c r="F9">
        <v>1</v>
      </c>
      <c r="G9">
        <v>16.3</v>
      </c>
      <c r="H9" s="12">
        <f t="shared" si="1"/>
        <v>23.439399999999999</v>
      </c>
      <c r="I9" s="10">
        <v>37.282499999999999</v>
      </c>
      <c r="J9" s="25">
        <v>127.1581</v>
      </c>
      <c r="K9" s="25" t="s">
        <v>468</v>
      </c>
    </row>
    <row r="10" spans="1:12" x14ac:dyDescent="0.45">
      <c r="A10" s="11" t="s">
        <v>514</v>
      </c>
      <c r="C10" s="10" t="s">
        <v>406</v>
      </c>
      <c r="E10" s="12"/>
      <c r="H10" s="12"/>
      <c r="I10" s="10">
        <v>37.032899999999998</v>
      </c>
      <c r="J10" s="25">
        <v>127.23090000000001</v>
      </c>
      <c r="K10" s="25" t="s">
        <v>469</v>
      </c>
    </row>
    <row r="11" spans="1:12" x14ac:dyDescent="0.45">
      <c r="A11" s="11" t="s">
        <v>515</v>
      </c>
      <c r="C11" s="10" t="s">
        <v>406</v>
      </c>
      <c r="E11" s="12"/>
      <c r="F11">
        <v>9</v>
      </c>
      <c r="G11">
        <v>56.1</v>
      </c>
      <c r="H11" s="12">
        <f t="shared" si="1"/>
        <v>80.671800000000005</v>
      </c>
      <c r="I11" s="10">
        <v>37.092500000000001</v>
      </c>
      <c r="J11" s="25">
        <v>126.9054</v>
      </c>
      <c r="K11" s="25" t="s">
        <v>143</v>
      </c>
    </row>
    <row r="12" spans="1:12" x14ac:dyDescent="0.45">
      <c r="A12" s="38" t="s">
        <v>516</v>
      </c>
      <c r="B12" s="10">
        <v>11</v>
      </c>
      <c r="C12" s="10" t="s">
        <v>47</v>
      </c>
      <c r="D12">
        <v>19.3</v>
      </c>
      <c r="E12" s="12">
        <f t="shared" si="0"/>
        <v>27.753399999999999</v>
      </c>
      <c r="F12">
        <v>9</v>
      </c>
      <c r="G12">
        <v>27.6</v>
      </c>
      <c r="H12" s="12">
        <f t="shared" si="1"/>
        <v>39.688800000000001</v>
      </c>
      <c r="I12" s="36">
        <v>38.036700000000003</v>
      </c>
      <c r="J12" s="37">
        <v>127.8142</v>
      </c>
      <c r="K12" s="37" t="s">
        <v>470</v>
      </c>
    </row>
    <row r="13" spans="1:12" x14ac:dyDescent="0.45">
      <c r="A13" s="38"/>
      <c r="B13" s="10">
        <v>15</v>
      </c>
      <c r="D13">
        <v>13.8</v>
      </c>
      <c r="E13" s="12">
        <f t="shared" si="0"/>
        <v>19.8444</v>
      </c>
      <c r="H13" s="12"/>
      <c r="I13" s="36"/>
      <c r="J13" s="37"/>
      <c r="K13" s="37"/>
    </row>
    <row r="14" spans="1:12" x14ac:dyDescent="0.45">
      <c r="A14" s="11" t="s">
        <v>517</v>
      </c>
      <c r="C14" s="10" t="s">
        <v>404</v>
      </c>
      <c r="E14" s="12"/>
      <c r="H14" s="12"/>
      <c r="I14" s="10">
        <v>38.037500000000001</v>
      </c>
      <c r="J14" s="25">
        <v>127.9213</v>
      </c>
      <c r="K14" s="25" t="s">
        <v>471</v>
      </c>
    </row>
    <row r="15" spans="1:12" x14ac:dyDescent="0.45">
      <c r="A15" s="11" t="s">
        <v>518</v>
      </c>
      <c r="C15" s="10" t="s">
        <v>49</v>
      </c>
      <c r="E15" s="12"/>
      <c r="H15" s="12"/>
      <c r="I15" s="10">
        <v>38.062899999999999</v>
      </c>
      <c r="J15" s="25">
        <v>127.9888</v>
      </c>
      <c r="K15" s="25" t="s">
        <v>472</v>
      </c>
    </row>
    <row r="16" spans="1:12" x14ac:dyDescent="0.45">
      <c r="A16" s="11" t="s">
        <v>519</v>
      </c>
      <c r="B16" s="10">
        <v>13</v>
      </c>
      <c r="C16" s="10" t="s">
        <v>403</v>
      </c>
      <c r="D16">
        <v>92</v>
      </c>
      <c r="E16" s="12">
        <f t="shared" si="0"/>
        <v>132.29599999999999</v>
      </c>
      <c r="F16">
        <v>5</v>
      </c>
      <c r="G16">
        <v>53.1</v>
      </c>
      <c r="H16" s="12">
        <f t="shared" si="1"/>
        <v>76.357799999999997</v>
      </c>
      <c r="I16" s="10">
        <v>37.741700000000002</v>
      </c>
      <c r="J16" s="25">
        <v>127.92570000000001</v>
      </c>
      <c r="K16" s="25" t="s">
        <v>473</v>
      </c>
    </row>
    <row r="17" spans="1:11" x14ac:dyDescent="0.45">
      <c r="A17" s="11" t="s">
        <v>520</v>
      </c>
      <c r="C17" s="10" t="s">
        <v>404</v>
      </c>
      <c r="E17" s="12"/>
      <c r="F17">
        <v>4</v>
      </c>
      <c r="G17">
        <v>33.700000000000003</v>
      </c>
      <c r="H17" s="12">
        <f t="shared" si="1"/>
        <v>48.460599999999999</v>
      </c>
      <c r="I17" s="10">
        <v>37.676600000000001</v>
      </c>
      <c r="J17" s="25">
        <v>127.88209999999999</v>
      </c>
      <c r="K17" s="25" t="s">
        <v>474</v>
      </c>
    </row>
    <row r="18" spans="1:11" x14ac:dyDescent="0.45">
      <c r="A18" s="35" t="s">
        <v>521</v>
      </c>
      <c r="B18" s="10">
        <v>18</v>
      </c>
      <c r="C18" s="36" t="s">
        <v>299</v>
      </c>
      <c r="D18">
        <v>34.9</v>
      </c>
      <c r="E18" s="12">
        <f t="shared" si="0"/>
        <v>50.186199999999999</v>
      </c>
      <c r="F18">
        <v>8</v>
      </c>
      <c r="G18">
        <v>31.9</v>
      </c>
      <c r="H18" s="12">
        <f t="shared" si="1"/>
        <v>45.872199999999999</v>
      </c>
      <c r="I18" s="36">
        <v>37.4724</v>
      </c>
      <c r="J18" s="37">
        <v>127.98269999999999</v>
      </c>
      <c r="K18" s="37" t="s">
        <v>475</v>
      </c>
    </row>
    <row r="19" spans="1:11" x14ac:dyDescent="0.45">
      <c r="A19" s="35"/>
      <c r="B19" s="10">
        <v>19</v>
      </c>
      <c r="C19" s="36"/>
      <c r="D19">
        <v>29.2</v>
      </c>
      <c r="E19" s="12">
        <f t="shared" si="0"/>
        <v>41.989599999999996</v>
      </c>
      <c r="H19" s="12"/>
      <c r="I19" s="36"/>
      <c r="J19" s="37"/>
      <c r="K19" s="37"/>
    </row>
    <row r="20" spans="1:11" x14ac:dyDescent="0.45">
      <c r="A20" s="11" t="s">
        <v>522</v>
      </c>
      <c r="B20" s="10">
        <v>16</v>
      </c>
      <c r="C20" s="10" t="s">
        <v>402</v>
      </c>
      <c r="D20">
        <v>55</v>
      </c>
      <c r="E20" s="12">
        <f t="shared" si="0"/>
        <v>79.09</v>
      </c>
      <c r="F20">
        <v>3</v>
      </c>
      <c r="G20">
        <v>81.599999999999994</v>
      </c>
      <c r="H20" s="12">
        <f t="shared" si="1"/>
        <v>117.34079999999999</v>
      </c>
      <c r="I20" s="10">
        <v>37.4636</v>
      </c>
      <c r="J20" s="25">
        <v>128.04490000000001</v>
      </c>
      <c r="K20" s="25" t="s">
        <v>476</v>
      </c>
    </row>
    <row r="21" spans="1:11" x14ac:dyDescent="0.45">
      <c r="A21" s="11" t="s">
        <v>523</v>
      </c>
      <c r="C21" s="10" t="s">
        <v>479</v>
      </c>
      <c r="E21" s="12"/>
      <c r="F21">
        <v>9</v>
      </c>
      <c r="G21">
        <v>18.899999999999999</v>
      </c>
      <c r="H21" s="12">
        <f t="shared" si="1"/>
        <v>27.178199999999997</v>
      </c>
      <c r="I21" s="10">
        <v>37.385399999999997</v>
      </c>
      <c r="J21" s="25">
        <v>127.9502</v>
      </c>
      <c r="K21" s="25" t="s">
        <v>477</v>
      </c>
    </row>
    <row r="22" spans="1:11" x14ac:dyDescent="0.45">
      <c r="A22" s="11" t="s">
        <v>524</v>
      </c>
      <c r="C22" s="10" t="s">
        <v>404</v>
      </c>
      <c r="E22" s="12"/>
      <c r="H22" s="12"/>
      <c r="I22" s="10">
        <v>37.9</v>
      </c>
      <c r="J22" s="25">
        <v>127.754</v>
      </c>
      <c r="K22" s="25" t="s">
        <v>478</v>
      </c>
    </row>
    <row r="23" spans="1:11" x14ac:dyDescent="0.45">
      <c r="A23" s="11" t="s">
        <v>525</v>
      </c>
      <c r="C23" s="10" t="s">
        <v>404</v>
      </c>
      <c r="E23" s="12"/>
      <c r="F23">
        <v>5</v>
      </c>
      <c r="G23">
        <v>13.3</v>
      </c>
      <c r="H23" s="12">
        <f t="shared" si="1"/>
        <v>19.125399999999999</v>
      </c>
      <c r="I23" s="10">
        <v>36.478999999999999</v>
      </c>
      <c r="J23" s="25">
        <v>127.4851</v>
      </c>
      <c r="K23" s="25" t="s">
        <v>481</v>
      </c>
    </row>
    <row r="24" spans="1:11" x14ac:dyDescent="0.45">
      <c r="A24" s="11" t="s">
        <v>526</v>
      </c>
      <c r="B24" s="10">
        <v>19</v>
      </c>
      <c r="C24" s="10" t="s">
        <v>49</v>
      </c>
      <c r="D24">
        <v>39.200000000000003</v>
      </c>
      <c r="E24" s="12">
        <f t="shared" si="0"/>
        <v>56.369600000000005</v>
      </c>
      <c r="F24">
        <v>5</v>
      </c>
      <c r="G24">
        <v>30.2</v>
      </c>
      <c r="H24" s="12">
        <f t="shared" si="1"/>
        <v>43.427599999999998</v>
      </c>
      <c r="I24" s="10">
        <v>36.745199999999997</v>
      </c>
      <c r="J24" s="25">
        <v>126.74939999999999</v>
      </c>
      <c r="K24" s="25" t="s">
        <v>482</v>
      </c>
    </row>
    <row r="25" spans="1:11" x14ac:dyDescent="0.45">
      <c r="A25" s="35" t="s">
        <v>527</v>
      </c>
      <c r="B25" s="10">
        <v>17</v>
      </c>
      <c r="C25" s="36" t="s">
        <v>408</v>
      </c>
      <c r="D25">
        <v>79.8</v>
      </c>
      <c r="E25" s="12">
        <f t="shared" si="0"/>
        <v>114.75239999999999</v>
      </c>
      <c r="F25">
        <v>10</v>
      </c>
      <c r="G25">
        <v>195</v>
      </c>
      <c r="H25" s="12">
        <f t="shared" si="1"/>
        <v>280.40999999999997</v>
      </c>
      <c r="I25" s="36">
        <v>36.655000000000001</v>
      </c>
      <c r="J25" s="37">
        <v>126.72929999999999</v>
      </c>
      <c r="K25" s="37" t="s">
        <v>483</v>
      </c>
    </row>
    <row r="26" spans="1:11" x14ac:dyDescent="0.45">
      <c r="A26" s="35"/>
      <c r="B26" s="10">
        <v>20</v>
      </c>
      <c r="C26" s="36"/>
      <c r="D26">
        <v>200.9</v>
      </c>
      <c r="E26" s="12">
        <f t="shared" si="0"/>
        <v>288.89420000000001</v>
      </c>
      <c r="H26" s="12"/>
      <c r="I26" s="36"/>
      <c r="J26" s="37"/>
      <c r="K26" s="37"/>
    </row>
    <row r="27" spans="1:11" x14ac:dyDescent="0.45">
      <c r="A27" s="11" t="s">
        <v>528</v>
      </c>
      <c r="B27" s="10">
        <v>15</v>
      </c>
      <c r="C27" s="10" t="s">
        <v>403</v>
      </c>
      <c r="D27">
        <v>131</v>
      </c>
      <c r="E27" s="12">
        <f t="shared" si="0"/>
        <v>188.37799999999999</v>
      </c>
      <c r="F27">
        <v>8</v>
      </c>
      <c r="G27">
        <v>136.4</v>
      </c>
      <c r="H27" s="12">
        <f t="shared" si="1"/>
        <v>196.14320000000001</v>
      </c>
      <c r="I27" s="10">
        <v>36.951700000000002</v>
      </c>
      <c r="J27" s="25">
        <v>126.5915</v>
      </c>
      <c r="K27" s="25" t="s">
        <v>484</v>
      </c>
    </row>
    <row r="28" spans="1:11" x14ac:dyDescent="0.45">
      <c r="A28" s="11" t="s">
        <v>529</v>
      </c>
      <c r="B28" s="10">
        <v>13</v>
      </c>
      <c r="C28" s="10" t="s">
        <v>406</v>
      </c>
      <c r="D28">
        <v>71.599999999999994</v>
      </c>
      <c r="E28" s="12">
        <f t="shared" si="0"/>
        <v>102.96079999999999</v>
      </c>
      <c r="F28">
        <v>9</v>
      </c>
      <c r="G28">
        <v>37.200000000000003</v>
      </c>
      <c r="H28" s="12">
        <f t="shared" si="1"/>
        <v>53.493600000000001</v>
      </c>
      <c r="I28" s="10">
        <v>36.951700000000002</v>
      </c>
      <c r="J28" s="25">
        <v>126.7852</v>
      </c>
      <c r="K28" s="25" t="s">
        <v>485</v>
      </c>
    </row>
    <row r="29" spans="1:11" x14ac:dyDescent="0.45">
      <c r="A29" s="11" t="s">
        <v>530</v>
      </c>
      <c r="C29" s="10" t="s">
        <v>47</v>
      </c>
      <c r="E29" s="12"/>
      <c r="F29">
        <v>2</v>
      </c>
      <c r="G29">
        <v>21.8</v>
      </c>
      <c r="H29" s="12">
        <f t="shared" si="1"/>
        <v>31.348399999999998</v>
      </c>
      <c r="I29" s="10">
        <v>36.739400000000003</v>
      </c>
      <c r="J29" s="25">
        <v>126.9135</v>
      </c>
      <c r="K29" s="25" t="s">
        <v>486</v>
      </c>
    </row>
    <row r="30" spans="1:11" x14ac:dyDescent="0.45">
      <c r="A30" s="11" t="s">
        <v>531</v>
      </c>
      <c r="B30" s="10">
        <v>18</v>
      </c>
      <c r="C30" s="10" t="s">
        <v>402</v>
      </c>
      <c r="D30">
        <v>27</v>
      </c>
      <c r="E30" s="12">
        <f t="shared" si="0"/>
        <v>38.826000000000001</v>
      </c>
      <c r="H30" s="12"/>
      <c r="I30" s="10">
        <v>36.745600000000003</v>
      </c>
      <c r="J30" s="25">
        <v>127.1734</v>
      </c>
      <c r="K30" s="25" t="s">
        <v>487</v>
      </c>
    </row>
    <row r="31" spans="1:11" x14ac:dyDescent="0.45">
      <c r="A31" s="11" t="s">
        <v>532</v>
      </c>
      <c r="C31" s="10" t="s">
        <v>404</v>
      </c>
      <c r="E31" s="12"/>
      <c r="H31" s="12"/>
      <c r="I31" s="10">
        <v>36.618299999999998</v>
      </c>
      <c r="J31" s="25">
        <v>127.3678</v>
      </c>
      <c r="K31" s="25" t="s">
        <v>488</v>
      </c>
    </row>
    <row r="32" spans="1:11" x14ac:dyDescent="0.45">
      <c r="A32" s="11" t="s">
        <v>533</v>
      </c>
      <c r="C32" s="10" t="s">
        <v>219</v>
      </c>
      <c r="E32" s="12"/>
      <c r="F32">
        <v>7</v>
      </c>
      <c r="G32">
        <v>8.1</v>
      </c>
      <c r="H32" s="12">
        <f t="shared" si="1"/>
        <v>11.647799999999998</v>
      </c>
      <c r="I32" s="10">
        <v>35.082999999999998</v>
      </c>
      <c r="J32" s="25">
        <v>128.83160000000001</v>
      </c>
      <c r="K32" s="25" t="s">
        <v>489</v>
      </c>
    </row>
    <row r="33" spans="1:11" x14ac:dyDescent="0.45">
      <c r="A33" s="11" t="s">
        <v>534</v>
      </c>
      <c r="B33" s="10">
        <v>11</v>
      </c>
      <c r="C33" s="10" t="s">
        <v>406</v>
      </c>
      <c r="D33">
        <v>18.600000000000001</v>
      </c>
      <c r="E33" s="12">
        <f t="shared" si="0"/>
        <v>26.7468</v>
      </c>
      <c r="F33">
        <v>3</v>
      </c>
      <c r="G33">
        <v>20.399999999999999</v>
      </c>
      <c r="H33" s="12">
        <f t="shared" si="1"/>
        <v>29.335199999999997</v>
      </c>
      <c r="I33" s="10">
        <v>35.516199999999998</v>
      </c>
      <c r="J33" s="25">
        <v>129.35169999999999</v>
      </c>
      <c r="K33" s="25" t="s">
        <v>490</v>
      </c>
    </row>
    <row r="34" spans="1:11" x14ac:dyDescent="0.45">
      <c r="A34" s="11" t="s">
        <v>535</v>
      </c>
      <c r="C34" s="10" t="s">
        <v>404</v>
      </c>
      <c r="E34" s="12"/>
      <c r="F34">
        <v>8</v>
      </c>
      <c r="G34">
        <v>1.5</v>
      </c>
      <c r="H34" s="12">
        <f t="shared" si="1"/>
        <v>2.157</v>
      </c>
      <c r="I34" s="10">
        <v>35.839100000000002</v>
      </c>
      <c r="J34" s="25">
        <v>129.07390000000001</v>
      </c>
      <c r="K34" s="25" t="s">
        <v>491</v>
      </c>
    </row>
    <row r="35" spans="1:11" x14ac:dyDescent="0.45">
      <c r="A35" s="35" t="s">
        <v>536</v>
      </c>
      <c r="B35" s="10">
        <v>12</v>
      </c>
      <c r="C35" s="36" t="s">
        <v>402</v>
      </c>
      <c r="D35">
        <v>97.7</v>
      </c>
      <c r="E35" s="12">
        <f t="shared" si="0"/>
        <v>140.49260000000001</v>
      </c>
      <c r="H35" s="12"/>
      <c r="I35" s="36">
        <v>35.703099999999999</v>
      </c>
      <c r="J35" s="37">
        <v>128.79939999999999</v>
      </c>
      <c r="K35" s="37" t="s">
        <v>492</v>
      </c>
    </row>
    <row r="36" spans="1:11" x14ac:dyDescent="0.45">
      <c r="A36" s="35"/>
      <c r="B36" s="10">
        <v>15</v>
      </c>
      <c r="C36" s="36"/>
      <c r="D36">
        <v>96</v>
      </c>
      <c r="E36" s="12">
        <f t="shared" si="0"/>
        <v>138.048</v>
      </c>
      <c r="H36" s="12"/>
      <c r="I36" s="36"/>
      <c r="J36" s="37"/>
      <c r="K36" s="37"/>
    </row>
    <row r="37" spans="1:11" x14ac:dyDescent="0.45">
      <c r="A37" s="11" t="s">
        <v>537</v>
      </c>
      <c r="C37" s="10" t="s">
        <v>47</v>
      </c>
      <c r="E37" s="12"/>
      <c r="F37">
        <v>9</v>
      </c>
      <c r="G37">
        <v>37.1</v>
      </c>
      <c r="H37" s="12">
        <f t="shared" si="1"/>
        <v>53.349800000000002</v>
      </c>
      <c r="I37" s="10">
        <v>35.456800000000001</v>
      </c>
      <c r="J37" s="25">
        <v>128.75710000000001</v>
      </c>
      <c r="K37" s="25" t="s">
        <v>493</v>
      </c>
    </row>
    <row r="38" spans="1:11" x14ac:dyDescent="0.45">
      <c r="A38" s="35" t="s">
        <v>538</v>
      </c>
      <c r="B38" s="10">
        <v>13</v>
      </c>
      <c r="C38" s="36" t="s">
        <v>480</v>
      </c>
      <c r="D38">
        <v>13.3</v>
      </c>
      <c r="E38" s="12">
        <f t="shared" si="0"/>
        <v>19.125399999999999</v>
      </c>
      <c r="F38">
        <v>5</v>
      </c>
      <c r="G38">
        <v>13.7</v>
      </c>
      <c r="H38" s="12">
        <f t="shared" si="1"/>
        <v>19.700599999999998</v>
      </c>
      <c r="I38" s="36">
        <v>35.228499999999997</v>
      </c>
      <c r="J38" s="37">
        <v>128.6832</v>
      </c>
      <c r="K38" s="37" t="s">
        <v>494</v>
      </c>
    </row>
    <row r="39" spans="1:11" x14ac:dyDescent="0.45">
      <c r="A39" s="35"/>
      <c r="B39" s="10">
        <v>20</v>
      </c>
      <c r="C39" s="36"/>
      <c r="D39">
        <v>12.9</v>
      </c>
      <c r="E39" s="12">
        <f t="shared" si="0"/>
        <v>18.5502</v>
      </c>
      <c r="H39" s="12"/>
      <c r="I39" s="36"/>
      <c r="J39" s="37"/>
      <c r="K39" s="37"/>
    </row>
    <row r="40" spans="1:11" x14ac:dyDescent="0.45">
      <c r="A40" s="11" t="s">
        <v>539</v>
      </c>
      <c r="B40" s="10">
        <v>14</v>
      </c>
      <c r="C40" s="10" t="s">
        <v>406</v>
      </c>
      <c r="D40">
        <v>16.7</v>
      </c>
      <c r="E40" s="12">
        <f t="shared" si="0"/>
        <v>24.014599999999998</v>
      </c>
      <c r="F40">
        <v>10</v>
      </c>
      <c r="G40">
        <v>15.2</v>
      </c>
      <c r="H40" s="12">
        <f t="shared" si="1"/>
        <v>21.857599999999998</v>
      </c>
      <c r="I40" s="10">
        <v>35.209699999999998</v>
      </c>
      <c r="J40" s="25">
        <v>128.65039999999999</v>
      </c>
      <c r="K40" s="25" t="s">
        <v>495</v>
      </c>
    </row>
    <row r="41" spans="1:11" x14ac:dyDescent="0.45">
      <c r="A41" s="11" t="s">
        <v>540</v>
      </c>
      <c r="C41" s="10" t="s">
        <v>404</v>
      </c>
      <c r="E41" s="12"/>
      <c r="H41" s="12"/>
      <c r="I41" s="10">
        <v>35.2485</v>
      </c>
      <c r="J41" s="25">
        <v>128.90389999999999</v>
      </c>
      <c r="K41" s="25" t="s">
        <v>496</v>
      </c>
    </row>
    <row r="42" spans="1:11" x14ac:dyDescent="0.45">
      <c r="A42" s="11" t="s">
        <v>541</v>
      </c>
      <c r="C42" s="10" t="s">
        <v>404</v>
      </c>
      <c r="E42" s="12"/>
      <c r="H42" s="12"/>
      <c r="I42" s="10">
        <v>35.768900000000002</v>
      </c>
      <c r="J42" s="25">
        <v>127.41240000000001</v>
      </c>
      <c r="K42" s="25" t="s">
        <v>497</v>
      </c>
    </row>
    <row r="43" spans="1:11" x14ac:dyDescent="0.45">
      <c r="A43" s="11" t="s">
        <v>542</v>
      </c>
      <c r="C43" s="10" t="s">
        <v>47</v>
      </c>
      <c r="E43" s="12"/>
      <c r="F43">
        <v>4</v>
      </c>
      <c r="G43">
        <v>17.399999999999999</v>
      </c>
      <c r="H43" s="12">
        <f t="shared" si="1"/>
        <v>25.021199999999997</v>
      </c>
      <c r="I43" s="10">
        <v>35.620100000000001</v>
      </c>
      <c r="J43" s="25">
        <v>127.51049999999999</v>
      </c>
      <c r="K43" s="25" t="s">
        <v>498</v>
      </c>
    </row>
    <row r="44" spans="1:11" x14ac:dyDescent="0.45">
      <c r="A44" s="11" t="s">
        <v>543</v>
      </c>
      <c r="B44" s="10">
        <v>12</v>
      </c>
      <c r="C44" s="10" t="s">
        <v>402</v>
      </c>
      <c r="D44">
        <v>139.6</v>
      </c>
      <c r="E44" s="12">
        <f t="shared" si="0"/>
        <v>200.7448</v>
      </c>
      <c r="F44">
        <v>10</v>
      </c>
      <c r="G44">
        <v>239.3</v>
      </c>
      <c r="H44" s="12">
        <f t="shared" si="1"/>
        <v>344.11340000000001</v>
      </c>
      <c r="I44" s="10">
        <v>35.486800000000002</v>
      </c>
      <c r="J44" s="25">
        <v>127.4751</v>
      </c>
      <c r="K44" s="25" t="s">
        <v>499</v>
      </c>
    </row>
    <row r="45" spans="1:11" x14ac:dyDescent="0.45">
      <c r="A45" s="35" t="s">
        <v>544</v>
      </c>
      <c r="B45" s="10">
        <v>11</v>
      </c>
      <c r="C45" s="36" t="s">
        <v>406</v>
      </c>
      <c r="D45">
        <v>22.1</v>
      </c>
      <c r="E45" s="12">
        <f t="shared" si="0"/>
        <v>31.779800000000002</v>
      </c>
      <c r="F45">
        <v>5</v>
      </c>
      <c r="G45">
        <v>22.8</v>
      </c>
      <c r="H45" s="12">
        <f t="shared" si="1"/>
        <v>32.7864</v>
      </c>
      <c r="I45" s="36">
        <v>35.421300000000002</v>
      </c>
      <c r="J45" s="37">
        <v>126.68470000000001</v>
      </c>
      <c r="K45" s="37" t="s">
        <v>500</v>
      </c>
    </row>
    <row r="46" spans="1:11" x14ac:dyDescent="0.45">
      <c r="A46" s="35"/>
      <c r="B46" s="10">
        <v>15</v>
      </c>
      <c r="C46" s="36"/>
      <c r="D46">
        <v>15.9</v>
      </c>
      <c r="E46" s="12">
        <f t="shared" si="0"/>
        <v>22.8642</v>
      </c>
      <c r="H46" s="12"/>
      <c r="I46" s="36"/>
      <c r="J46" s="37"/>
      <c r="K46" s="37"/>
    </row>
    <row r="47" spans="1:11" x14ac:dyDescent="0.45">
      <c r="A47" s="11" t="s">
        <v>545</v>
      </c>
      <c r="B47" s="10">
        <v>18</v>
      </c>
      <c r="C47" s="10" t="s">
        <v>49</v>
      </c>
      <c r="D47">
        <v>15.2</v>
      </c>
      <c r="E47" s="12">
        <f t="shared" si="0"/>
        <v>21.857599999999998</v>
      </c>
      <c r="H47" s="12"/>
      <c r="I47" s="10">
        <v>35.537500000000001</v>
      </c>
      <c r="J47" s="25">
        <v>126.7385</v>
      </c>
      <c r="K47" s="25" t="s">
        <v>501</v>
      </c>
    </row>
    <row r="48" spans="1:11" x14ac:dyDescent="0.45">
      <c r="A48" s="11" t="s">
        <v>546</v>
      </c>
      <c r="B48" s="10">
        <v>20</v>
      </c>
      <c r="C48" s="10" t="s">
        <v>506</v>
      </c>
      <c r="D48">
        <v>28.6</v>
      </c>
      <c r="E48" s="12">
        <f t="shared" si="0"/>
        <v>41.126800000000003</v>
      </c>
      <c r="F48">
        <v>1</v>
      </c>
      <c r="G48">
        <v>55.8</v>
      </c>
      <c r="H48" s="12">
        <f t="shared" si="1"/>
        <v>80.240399999999994</v>
      </c>
      <c r="I48" s="10">
        <v>35.581499999999998</v>
      </c>
      <c r="J48" s="25">
        <v>126.7726</v>
      </c>
      <c r="K48" s="25" t="s">
        <v>502</v>
      </c>
    </row>
    <row r="49" spans="1:11" x14ac:dyDescent="0.45">
      <c r="A49" s="11" t="s">
        <v>547</v>
      </c>
      <c r="C49" s="10" t="s">
        <v>49</v>
      </c>
      <c r="E49" s="12"/>
      <c r="F49">
        <v>6</v>
      </c>
      <c r="G49">
        <v>38.299999999999997</v>
      </c>
      <c r="H49" s="12">
        <f t="shared" si="1"/>
        <v>55.075399999999995</v>
      </c>
      <c r="I49" s="10">
        <v>35.696100000000001</v>
      </c>
      <c r="J49" s="25">
        <v>126.77249999999999</v>
      </c>
      <c r="K49" s="25" t="s">
        <v>503</v>
      </c>
    </row>
    <row r="50" spans="1:11" x14ac:dyDescent="0.45">
      <c r="A50" s="11" t="s">
        <v>548</v>
      </c>
      <c r="B50" s="10">
        <v>13</v>
      </c>
      <c r="C50" s="10" t="s">
        <v>406</v>
      </c>
      <c r="D50">
        <v>69.8</v>
      </c>
      <c r="E50" s="12">
        <f t="shared" si="0"/>
        <v>100.3724</v>
      </c>
      <c r="F50">
        <v>3</v>
      </c>
      <c r="G50">
        <v>63.7</v>
      </c>
      <c r="H50" s="12">
        <f t="shared" si="1"/>
        <v>91.6006</v>
      </c>
      <c r="I50" s="10">
        <v>35.9786</v>
      </c>
      <c r="J50" s="25">
        <v>126.6546</v>
      </c>
      <c r="K50" s="25" t="s">
        <v>504</v>
      </c>
    </row>
    <row r="51" spans="1:11" x14ac:dyDescent="0.45">
      <c r="A51" s="13" t="s">
        <v>549</v>
      </c>
      <c r="B51" s="14"/>
      <c r="C51" s="14" t="s">
        <v>404</v>
      </c>
      <c r="D51" s="15"/>
      <c r="E51" s="16"/>
      <c r="F51" s="15"/>
      <c r="G51" s="15"/>
      <c r="H51" s="16"/>
      <c r="I51" s="14">
        <v>35.9726</v>
      </c>
      <c r="J51" s="26">
        <v>126.95659999999999</v>
      </c>
      <c r="K51" s="26" t="s">
        <v>505</v>
      </c>
    </row>
    <row r="53" spans="1:11" x14ac:dyDescent="0.45">
      <c r="A53" s="17" t="s">
        <v>555</v>
      </c>
      <c r="B53" s="18" t="s">
        <v>557</v>
      </c>
      <c r="C53" s="21"/>
      <c r="D53" s="22"/>
      <c r="E53" s="23"/>
    </row>
    <row r="54" spans="1:11" x14ac:dyDescent="0.45">
      <c r="A54" s="11" t="s">
        <v>556</v>
      </c>
      <c r="B54" s="10">
        <v>1</v>
      </c>
      <c r="D54">
        <v>130.6</v>
      </c>
      <c r="E54" s="12">
        <f t="shared" si="0"/>
        <v>187.80279999999999</v>
      </c>
    </row>
    <row r="55" spans="1:11" x14ac:dyDescent="0.45">
      <c r="A55" s="11" t="s">
        <v>556</v>
      </c>
      <c r="B55" s="10">
        <v>2</v>
      </c>
      <c r="D55">
        <v>71.599999999999994</v>
      </c>
      <c r="E55" s="12">
        <f t="shared" si="0"/>
        <v>102.96079999999999</v>
      </c>
    </row>
    <row r="56" spans="1:11" x14ac:dyDescent="0.45">
      <c r="A56" s="11" t="s">
        <v>556</v>
      </c>
      <c r="B56" s="10">
        <v>3</v>
      </c>
      <c r="D56">
        <v>64.900000000000006</v>
      </c>
      <c r="E56" s="12">
        <f t="shared" si="0"/>
        <v>93.3262</v>
      </c>
    </row>
    <row r="57" spans="1:11" x14ac:dyDescent="0.45">
      <c r="A57" s="13" t="s">
        <v>556</v>
      </c>
      <c r="B57" s="14">
        <v>4</v>
      </c>
      <c r="C57" s="14"/>
      <c r="D57" s="15">
        <v>52.2</v>
      </c>
      <c r="E57" s="16">
        <f t="shared" si="0"/>
        <v>75.063600000000008</v>
      </c>
    </row>
  </sheetData>
  <mergeCells count="34">
    <mergeCell ref="K35:K36"/>
    <mergeCell ref="I25:I26"/>
    <mergeCell ref="K25:K26"/>
    <mergeCell ref="K18:K19"/>
    <mergeCell ref="J45:J46"/>
    <mergeCell ref="J38:J39"/>
    <mergeCell ref="J35:J36"/>
    <mergeCell ref="J25:J26"/>
    <mergeCell ref="A45:A46"/>
    <mergeCell ref="C45:C46"/>
    <mergeCell ref="I35:I36"/>
    <mergeCell ref="K4:K5"/>
    <mergeCell ref="A12:A13"/>
    <mergeCell ref="I12:I13"/>
    <mergeCell ref="K12:K13"/>
    <mergeCell ref="I45:I46"/>
    <mergeCell ref="K45:K46"/>
    <mergeCell ref="I38:I39"/>
    <mergeCell ref="K38:K39"/>
    <mergeCell ref="A35:A36"/>
    <mergeCell ref="A38:A39"/>
    <mergeCell ref="C38:C39"/>
    <mergeCell ref="C35:C36"/>
    <mergeCell ref="A25:A26"/>
    <mergeCell ref="C25:C26"/>
    <mergeCell ref="C18:C19"/>
    <mergeCell ref="I18:I19"/>
    <mergeCell ref="A18:A19"/>
    <mergeCell ref="C4:C5"/>
    <mergeCell ref="A4:A5"/>
    <mergeCell ref="I4:I5"/>
    <mergeCell ref="J4:J5"/>
    <mergeCell ref="J18:J19"/>
    <mergeCell ref="J12:J1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B5BB-3413-41AB-B7CF-104D73D4E40A}">
  <dimension ref="A1:G48"/>
  <sheetViews>
    <sheetView workbookViewId="0">
      <selection activeCell="D3" sqref="D3"/>
    </sheetView>
  </sheetViews>
  <sheetFormatPr defaultRowHeight="17" x14ac:dyDescent="0.45"/>
  <cols>
    <col min="1" max="1" width="11.1640625" bestFit="1" customWidth="1"/>
    <col min="2" max="2" width="10.25" bestFit="1" customWidth="1"/>
    <col min="3" max="3" width="22.5" bestFit="1" customWidth="1"/>
    <col min="4" max="4" width="15.25" bestFit="1" customWidth="1"/>
    <col min="5" max="5" width="6.58203125" bestFit="1" customWidth="1"/>
    <col min="6" max="6" width="7.33203125" bestFit="1" customWidth="1"/>
    <col min="7" max="7" width="36.4140625" bestFit="1" customWidth="1"/>
  </cols>
  <sheetData>
    <row r="1" spans="1:7" x14ac:dyDescent="0.45">
      <c r="A1" s="6" t="s">
        <v>412</v>
      </c>
      <c r="B1" s="6" t="s">
        <v>413</v>
      </c>
      <c r="C1" s="6" t="s">
        <v>558</v>
      </c>
      <c r="D1" s="6" t="s">
        <v>414</v>
      </c>
      <c r="E1" s="6" t="s">
        <v>349</v>
      </c>
      <c r="F1" s="6" t="s">
        <v>350</v>
      </c>
      <c r="G1" s="6" t="s">
        <v>348</v>
      </c>
    </row>
    <row r="2" spans="1:7" ht="18.5" x14ac:dyDescent="0.45">
      <c r="A2" t="s">
        <v>416</v>
      </c>
      <c r="B2" t="s">
        <v>401</v>
      </c>
      <c r="C2" s="2">
        <v>7.63</v>
      </c>
      <c r="D2" s="2">
        <v>8.32</v>
      </c>
      <c r="E2" s="8">
        <v>37.53</v>
      </c>
      <c r="F2" s="2">
        <v>126.9</v>
      </c>
      <c r="G2" t="s">
        <v>354</v>
      </c>
    </row>
    <row r="3" spans="1:7" ht="18.5" x14ac:dyDescent="0.45">
      <c r="A3" t="s">
        <v>417</v>
      </c>
      <c r="B3" t="s">
        <v>401</v>
      </c>
      <c r="C3" s="2">
        <v>9.0299999999999994</v>
      </c>
      <c r="D3" s="2">
        <v>7.12</v>
      </c>
      <c r="E3" s="8">
        <v>37.58</v>
      </c>
      <c r="F3" s="2">
        <v>127.09</v>
      </c>
      <c r="G3" t="s">
        <v>355</v>
      </c>
    </row>
    <row r="4" spans="1:7" ht="18.5" x14ac:dyDescent="0.45">
      <c r="A4" t="s">
        <v>418</v>
      </c>
      <c r="B4" t="s">
        <v>401</v>
      </c>
      <c r="C4" s="2">
        <v>6.19</v>
      </c>
      <c r="D4" s="2">
        <v>8.43</v>
      </c>
      <c r="E4" s="8">
        <v>37.57</v>
      </c>
      <c r="F4" s="2">
        <v>127</v>
      </c>
      <c r="G4" t="s">
        <v>356</v>
      </c>
    </row>
    <row r="5" spans="1:7" ht="18.5" x14ac:dyDescent="0.45">
      <c r="A5" t="s">
        <v>419</v>
      </c>
      <c r="B5" t="s">
        <v>401</v>
      </c>
      <c r="C5" s="2">
        <v>7.98</v>
      </c>
      <c r="D5" s="2">
        <v>8.89</v>
      </c>
      <c r="E5" s="8">
        <v>37.49</v>
      </c>
      <c r="F5" s="2">
        <v>126.93</v>
      </c>
      <c r="G5" t="s">
        <v>357</v>
      </c>
    </row>
    <row r="6" spans="1:7" ht="18.5" x14ac:dyDescent="0.45">
      <c r="A6" t="s">
        <v>420</v>
      </c>
      <c r="B6" t="s">
        <v>401</v>
      </c>
      <c r="C6" s="2">
        <v>8.15</v>
      </c>
      <c r="D6" s="2">
        <v>9.8699999999999992</v>
      </c>
      <c r="E6" s="8">
        <v>37.54</v>
      </c>
      <c r="F6" s="2">
        <v>126.84</v>
      </c>
      <c r="G6" t="s">
        <v>358</v>
      </c>
    </row>
    <row r="7" spans="1:7" ht="18.5" x14ac:dyDescent="0.45">
      <c r="A7" t="s">
        <v>421</v>
      </c>
      <c r="B7" t="s">
        <v>401</v>
      </c>
      <c r="C7" s="2">
        <v>8.14</v>
      </c>
      <c r="D7" s="2">
        <v>8.35</v>
      </c>
      <c r="E7" s="8">
        <v>37.520000000000003</v>
      </c>
      <c r="F7" s="2">
        <v>127.05</v>
      </c>
      <c r="G7" t="s">
        <v>359</v>
      </c>
    </row>
    <row r="8" spans="1:7" ht="18.5" x14ac:dyDescent="0.45">
      <c r="A8" t="s">
        <v>422</v>
      </c>
      <c r="B8" t="s">
        <v>401</v>
      </c>
      <c r="C8" s="2">
        <v>7.37</v>
      </c>
      <c r="D8" s="2">
        <v>8.08</v>
      </c>
      <c r="E8" s="8">
        <v>37.549999999999997</v>
      </c>
      <c r="F8" s="2">
        <v>127.14</v>
      </c>
      <c r="G8" t="s">
        <v>360</v>
      </c>
    </row>
    <row r="9" spans="1:7" ht="18.5" x14ac:dyDescent="0.45">
      <c r="A9" t="s">
        <v>423</v>
      </c>
      <c r="B9" t="s">
        <v>401</v>
      </c>
      <c r="C9" s="2">
        <v>5.87</v>
      </c>
      <c r="D9" s="2">
        <v>5.39</v>
      </c>
      <c r="E9" s="8">
        <v>37.65</v>
      </c>
      <c r="F9" s="2">
        <v>127.01</v>
      </c>
      <c r="G9" t="s">
        <v>361</v>
      </c>
    </row>
    <row r="10" spans="1:7" ht="18.5" x14ac:dyDescent="0.45">
      <c r="A10" t="s">
        <v>424</v>
      </c>
      <c r="B10" t="s">
        <v>406</v>
      </c>
      <c r="C10" s="2">
        <v>9.93</v>
      </c>
      <c r="D10" s="2">
        <v>11.88</v>
      </c>
      <c r="E10" s="8">
        <v>37.32</v>
      </c>
      <c r="F10" s="2">
        <v>126.76</v>
      </c>
      <c r="G10" t="s">
        <v>362</v>
      </c>
    </row>
    <row r="11" spans="1:7" ht="18.5" x14ac:dyDescent="0.45">
      <c r="A11" t="s">
        <v>425</v>
      </c>
      <c r="B11" t="s">
        <v>401</v>
      </c>
      <c r="C11" s="2">
        <v>4.79</v>
      </c>
      <c r="D11" s="2">
        <v>7.73</v>
      </c>
      <c r="E11" s="8">
        <v>37.39</v>
      </c>
      <c r="F11" s="2">
        <v>126.64</v>
      </c>
      <c r="G11" t="s">
        <v>363</v>
      </c>
    </row>
    <row r="12" spans="1:7" ht="18.5" x14ac:dyDescent="0.45">
      <c r="A12" t="s">
        <v>426</v>
      </c>
      <c r="B12" t="s">
        <v>410</v>
      </c>
      <c r="C12" s="2">
        <v>23.6</v>
      </c>
      <c r="D12" s="2">
        <v>25.56</v>
      </c>
      <c r="E12" s="8">
        <v>37.31</v>
      </c>
      <c r="F12" s="2">
        <v>127.22</v>
      </c>
      <c r="G12" t="s">
        <v>364</v>
      </c>
    </row>
    <row r="13" spans="1:7" ht="18.5" x14ac:dyDescent="0.45">
      <c r="A13" t="s">
        <v>427</v>
      </c>
      <c r="B13" t="s">
        <v>404</v>
      </c>
      <c r="C13" s="2">
        <v>2.2200000000000002</v>
      </c>
      <c r="D13" s="2">
        <v>2.62</v>
      </c>
      <c r="E13" s="8">
        <v>37.32</v>
      </c>
      <c r="F13" s="2">
        <v>127.27</v>
      </c>
      <c r="G13" t="s">
        <v>365</v>
      </c>
    </row>
    <row r="14" spans="1:7" ht="18.5" x14ac:dyDescent="0.45">
      <c r="A14" t="s">
        <v>428</v>
      </c>
      <c r="B14" t="s">
        <v>405</v>
      </c>
      <c r="C14" s="2">
        <v>12.5</v>
      </c>
      <c r="D14" s="2">
        <v>14.38</v>
      </c>
      <c r="E14" s="8">
        <v>37.21</v>
      </c>
      <c r="F14" s="2">
        <v>126.88</v>
      </c>
      <c r="G14" t="s">
        <v>366</v>
      </c>
    </row>
    <row r="15" spans="1:7" ht="18.5" x14ac:dyDescent="0.45">
      <c r="A15" t="s">
        <v>429</v>
      </c>
      <c r="B15" t="s">
        <v>411</v>
      </c>
      <c r="C15" s="2">
        <v>210.9</v>
      </c>
      <c r="D15" s="2">
        <v>365.4</v>
      </c>
      <c r="E15" s="8">
        <v>36.4</v>
      </c>
      <c r="F15" s="2">
        <v>128.35</v>
      </c>
      <c r="G15" t="s">
        <v>367</v>
      </c>
    </row>
    <row r="16" spans="1:7" ht="18.5" x14ac:dyDescent="0.45">
      <c r="A16" t="s">
        <v>430</v>
      </c>
      <c r="B16" t="s">
        <v>404</v>
      </c>
      <c r="C16" s="2">
        <v>3</v>
      </c>
      <c r="D16" s="2">
        <v>2.98</v>
      </c>
      <c r="E16" s="8">
        <v>35.200000000000003</v>
      </c>
      <c r="F16" s="2">
        <v>128.19999999999999</v>
      </c>
      <c r="G16" t="s">
        <v>368</v>
      </c>
    </row>
    <row r="17" spans="1:7" ht="18.5" x14ac:dyDescent="0.45">
      <c r="A17" t="s">
        <v>431</v>
      </c>
      <c r="B17" t="s">
        <v>407</v>
      </c>
      <c r="C17" s="2">
        <v>3.5</v>
      </c>
      <c r="D17" s="2">
        <v>4.5199999999999996</v>
      </c>
      <c r="E17" s="8">
        <v>34.86</v>
      </c>
      <c r="F17" s="2">
        <v>128.41</v>
      </c>
      <c r="G17" t="s">
        <v>369</v>
      </c>
    </row>
    <row r="18" spans="1:7" ht="18.5" x14ac:dyDescent="0.45">
      <c r="A18" t="s">
        <v>432</v>
      </c>
      <c r="B18" t="s">
        <v>409</v>
      </c>
      <c r="C18" s="2">
        <v>81</v>
      </c>
      <c r="D18" s="2">
        <v>170.7</v>
      </c>
      <c r="E18" s="8">
        <v>36.5</v>
      </c>
      <c r="F18" s="2">
        <v>128.38</v>
      </c>
      <c r="G18" t="s">
        <v>370</v>
      </c>
    </row>
    <row r="19" spans="1:7" ht="18.5" x14ac:dyDescent="0.45">
      <c r="A19" t="s">
        <v>433</v>
      </c>
      <c r="B19" t="s">
        <v>405</v>
      </c>
      <c r="C19" s="2">
        <v>12.5</v>
      </c>
      <c r="D19" s="2">
        <v>20.95</v>
      </c>
      <c r="E19" s="8">
        <v>36.42</v>
      </c>
      <c r="F19" s="2">
        <v>128.18</v>
      </c>
      <c r="G19" t="s">
        <v>371</v>
      </c>
    </row>
    <row r="20" spans="1:7" ht="18.5" x14ac:dyDescent="0.45">
      <c r="A20" t="s">
        <v>434</v>
      </c>
      <c r="B20" t="s">
        <v>406</v>
      </c>
      <c r="C20" s="2">
        <v>5.5</v>
      </c>
      <c r="D20" s="2">
        <v>5.22</v>
      </c>
      <c r="E20" s="8">
        <v>35.119999999999997</v>
      </c>
      <c r="F20" s="2">
        <v>128.11000000000001</v>
      </c>
      <c r="G20" t="s">
        <v>372</v>
      </c>
    </row>
    <row r="21" spans="1:7" ht="18.5" x14ac:dyDescent="0.45">
      <c r="A21" t="s">
        <v>435</v>
      </c>
      <c r="B21" t="s">
        <v>405</v>
      </c>
      <c r="C21" s="2">
        <v>12.9</v>
      </c>
      <c r="D21" s="2">
        <v>11.86</v>
      </c>
      <c r="E21" s="8">
        <v>34.97</v>
      </c>
      <c r="F21" s="2">
        <v>128.35</v>
      </c>
      <c r="G21" t="s">
        <v>373</v>
      </c>
    </row>
    <row r="22" spans="1:7" ht="18.5" x14ac:dyDescent="0.45">
      <c r="A22" t="s">
        <v>436</v>
      </c>
      <c r="B22" t="s">
        <v>401</v>
      </c>
      <c r="C22" s="2">
        <v>8.3000000000000007</v>
      </c>
      <c r="D22" s="2">
        <v>10.1</v>
      </c>
      <c r="E22" s="8">
        <v>35.18</v>
      </c>
      <c r="F22" s="2">
        <v>128.11000000000001</v>
      </c>
      <c r="G22" t="s">
        <v>374</v>
      </c>
    </row>
    <row r="23" spans="1:7" ht="18.5" x14ac:dyDescent="0.45">
      <c r="A23" t="s">
        <v>437</v>
      </c>
      <c r="B23" t="s">
        <v>409</v>
      </c>
      <c r="C23" s="2">
        <v>13.9</v>
      </c>
      <c r="D23" s="2">
        <v>49.55</v>
      </c>
      <c r="E23" s="8">
        <v>36.57</v>
      </c>
      <c r="F23" s="2">
        <v>126.59</v>
      </c>
      <c r="G23" t="s">
        <v>375</v>
      </c>
    </row>
    <row r="24" spans="1:7" ht="18.5" x14ac:dyDescent="0.45">
      <c r="A24" t="s">
        <v>438</v>
      </c>
      <c r="B24" t="s">
        <v>405</v>
      </c>
      <c r="C24" s="2">
        <v>14.3</v>
      </c>
      <c r="D24" s="2">
        <v>11.83</v>
      </c>
      <c r="E24" s="8">
        <v>36.74</v>
      </c>
      <c r="F24" s="2">
        <v>126.91</v>
      </c>
      <c r="G24" t="s">
        <v>398</v>
      </c>
    </row>
    <row r="25" spans="1:7" ht="18.5" x14ac:dyDescent="0.45">
      <c r="A25" t="s">
        <v>439</v>
      </c>
      <c r="B25" t="s">
        <v>409</v>
      </c>
      <c r="C25" s="2">
        <v>29.4</v>
      </c>
      <c r="D25" s="2">
        <v>63.67</v>
      </c>
      <c r="E25" s="8">
        <v>36.659999999999997</v>
      </c>
      <c r="F25" s="2">
        <v>126.73</v>
      </c>
      <c r="G25" t="s">
        <v>400</v>
      </c>
    </row>
    <row r="26" spans="1:7" ht="18.5" x14ac:dyDescent="0.45">
      <c r="A26" t="s">
        <v>440</v>
      </c>
      <c r="B26" t="s">
        <v>405</v>
      </c>
      <c r="C26" s="2">
        <v>19.7</v>
      </c>
      <c r="D26" s="2">
        <v>15.22</v>
      </c>
      <c r="E26" s="8">
        <v>36.74</v>
      </c>
      <c r="F26" s="2">
        <v>126.91</v>
      </c>
      <c r="G26" t="s">
        <v>399</v>
      </c>
    </row>
    <row r="27" spans="1:7" ht="18.5" x14ac:dyDescent="0.45">
      <c r="A27" t="s">
        <v>441</v>
      </c>
      <c r="B27" t="s">
        <v>401</v>
      </c>
      <c r="C27" s="2">
        <v>11.8</v>
      </c>
      <c r="D27" s="2">
        <v>10.32</v>
      </c>
      <c r="E27" s="8">
        <v>36.36</v>
      </c>
      <c r="F27" s="2">
        <v>127.34</v>
      </c>
      <c r="G27" t="s">
        <v>376</v>
      </c>
    </row>
    <row r="28" spans="1:7" ht="18.5" x14ac:dyDescent="0.45">
      <c r="A28" t="s">
        <v>442</v>
      </c>
      <c r="B28" t="s">
        <v>405</v>
      </c>
      <c r="C28" s="2">
        <v>23.8</v>
      </c>
      <c r="D28" s="2">
        <v>17.46</v>
      </c>
      <c r="E28" s="8">
        <v>36.75</v>
      </c>
      <c r="F28" s="2">
        <v>126.75</v>
      </c>
      <c r="G28" t="s">
        <v>377</v>
      </c>
    </row>
    <row r="29" spans="1:7" ht="18.5" x14ac:dyDescent="0.45">
      <c r="A29" t="s">
        <v>444</v>
      </c>
      <c r="B29" t="s">
        <v>411</v>
      </c>
      <c r="C29" s="2">
        <v>14.4</v>
      </c>
      <c r="D29" s="2">
        <v>15.22</v>
      </c>
      <c r="E29" s="8">
        <v>36.75</v>
      </c>
      <c r="F29" s="2">
        <v>127.17</v>
      </c>
      <c r="G29" t="s">
        <v>378</v>
      </c>
    </row>
    <row r="30" spans="1:7" ht="18.5" x14ac:dyDescent="0.45">
      <c r="A30" t="s">
        <v>443</v>
      </c>
      <c r="B30" t="s">
        <v>406</v>
      </c>
      <c r="C30" s="2">
        <v>13.9</v>
      </c>
      <c r="D30" s="2">
        <v>21.97</v>
      </c>
      <c r="E30" s="8">
        <v>36.950000000000003</v>
      </c>
      <c r="F30" s="2">
        <v>126.78</v>
      </c>
      <c r="G30" t="s">
        <v>379</v>
      </c>
    </row>
    <row r="31" spans="1:7" ht="18.5" x14ac:dyDescent="0.45">
      <c r="A31" t="s">
        <v>445</v>
      </c>
      <c r="B31" t="s">
        <v>406</v>
      </c>
      <c r="C31" s="2">
        <v>14.3</v>
      </c>
      <c r="D31" s="2">
        <v>20.07</v>
      </c>
      <c r="E31" s="8">
        <v>35.94</v>
      </c>
      <c r="F31" s="2">
        <v>126.97</v>
      </c>
      <c r="G31" t="s">
        <v>380</v>
      </c>
    </row>
    <row r="32" spans="1:7" ht="18.5" x14ac:dyDescent="0.45">
      <c r="A32" t="s">
        <v>446</v>
      </c>
      <c r="B32" t="s">
        <v>410</v>
      </c>
      <c r="C32" s="2">
        <v>180.6</v>
      </c>
      <c r="D32" s="2">
        <v>260.60000000000002</v>
      </c>
      <c r="E32" s="8">
        <v>35.83</v>
      </c>
      <c r="F32" s="2">
        <v>126.98</v>
      </c>
      <c r="G32" t="s">
        <v>381</v>
      </c>
    </row>
    <row r="33" spans="1:7" ht="18.5" x14ac:dyDescent="0.45">
      <c r="A33" t="s">
        <v>447</v>
      </c>
      <c r="B33" t="s">
        <v>405</v>
      </c>
      <c r="C33" s="2">
        <v>17.8</v>
      </c>
      <c r="D33" s="2">
        <v>16.850000000000001</v>
      </c>
      <c r="E33" s="8">
        <v>35.54</v>
      </c>
      <c r="F33" s="2">
        <v>126.74</v>
      </c>
      <c r="G33" t="s">
        <v>382</v>
      </c>
    </row>
    <row r="34" spans="1:7" ht="18.5" x14ac:dyDescent="0.45">
      <c r="A34" t="s">
        <v>448</v>
      </c>
      <c r="B34" t="s">
        <v>404</v>
      </c>
      <c r="C34" s="2">
        <v>11.5</v>
      </c>
      <c r="D34" s="2">
        <v>5.25</v>
      </c>
      <c r="E34" s="8">
        <v>36.03</v>
      </c>
      <c r="F34" s="2">
        <v>127.04</v>
      </c>
      <c r="G34" t="s">
        <v>383</v>
      </c>
    </row>
    <row r="35" spans="1:7" ht="18.5" x14ac:dyDescent="0.45">
      <c r="A35" t="s">
        <v>449</v>
      </c>
      <c r="B35" t="s">
        <v>406</v>
      </c>
      <c r="C35" s="2">
        <v>31.9</v>
      </c>
      <c r="D35" s="2">
        <v>26.96</v>
      </c>
      <c r="E35" s="8">
        <v>35.979999999999997</v>
      </c>
      <c r="F35" s="2">
        <v>126.65</v>
      </c>
      <c r="G35" t="s">
        <v>384</v>
      </c>
    </row>
    <row r="36" spans="1:7" ht="18.5" x14ac:dyDescent="0.45">
      <c r="A36" t="s">
        <v>450</v>
      </c>
      <c r="B36" t="s">
        <v>405</v>
      </c>
      <c r="C36" s="2">
        <v>31.8</v>
      </c>
      <c r="D36" s="2">
        <v>23.3</v>
      </c>
      <c r="E36" s="8">
        <v>35.700000000000003</v>
      </c>
      <c r="F36" s="2">
        <v>126.77</v>
      </c>
      <c r="G36" t="s">
        <v>385</v>
      </c>
    </row>
    <row r="37" spans="1:7" ht="18.5" x14ac:dyDescent="0.45">
      <c r="A37" t="s">
        <v>451</v>
      </c>
      <c r="B37" t="s">
        <v>401</v>
      </c>
      <c r="C37" s="2">
        <v>16.5</v>
      </c>
      <c r="D37" s="7" t="s">
        <v>415</v>
      </c>
      <c r="E37" s="8">
        <v>35.96</v>
      </c>
      <c r="F37" s="2">
        <v>126.94</v>
      </c>
      <c r="G37" t="s">
        <v>386</v>
      </c>
    </row>
    <row r="38" spans="1:7" ht="18.5" x14ac:dyDescent="0.45">
      <c r="A38" t="s">
        <v>452</v>
      </c>
      <c r="B38" t="s">
        <v>411</v>
      </c>
      <c r="C38" s="2">
        <v>52.7</v>
      </c>
      <c r="D38" s="2">
        <v>49.96</v>
      </c>
      <c r="E38" s="8">
        <v>35.58</v>
      </c>
      <c r="F38" s="2">
        <v>126.77</v>
      </c>
      <c r="G38" t="s">
        <v>387</v>
      </c>
    </row>
    <row r="39" spans="1:7" ht="18.5" x14ac:dyDescent="0.45">
      <c r="A39" t="s">
        <v>453</v>
      </c>
      <c r="B39" t="s">
        <v>406</v>
      </c>
      <c r="C39" s="2">
        <v>15.5</v>
      </c>
      <c r="D39" s="2">
        <v>14.26</v>
      </c>
      <c r="E39" s="8">
        <v>35.42</v>
      </c>
      <c r="F39" s="2">
        <v>126.68</v>
      </c>
      <c r="G39" t="s">
        <v>388</v>
      </c>
    </row>
    <row r="40" spans="1:7" ht="18.5" x14ac:dyDescent="0.45">
      <c r="A40" t="s">
        <v>454</v>
      </c>
      <c r="B40" t="s">
        <v>411</v>
      </c>
      <c r="C40" s="2">
        <v>65.5</v>
      </c>
      <c r="D40" s="2">
        <v>59.32</v>
      </c>
      <c r="E40" s="8">
        <v>37.58</v>
      </c>
      <c r="F40" s="2">
        <v>127.87</v>
      </c>
      <c r="G40" t="s">
        <v>389</v>
      </c>
    </row>
    <row r="41" spans="1:7" ht="18.5" x14ac:dyDescent="0.45">
      <c r="A41" t="s">
        <v>455</v>
      </c>
      <c r="B41" t="s">
        <v>410</v>
      </c>
      <c r="C41" s="2">
        <v>77.3</v>
      </c>
      <c r="D41" s="2">
        <v>40.17</v>
      </c>
      <c r="E41" s="8">
        <v>37.58</v>
      </c>
      <c r="F41" s="2">
        <v>127.87</v>
      </c>
      <c r="G41" t="s">
        <v>390</v>
      </c>
    </row>
    <row r="42" spans="1:7" ht="18.5" x14ac:dyDescent="0.45">
      <c r="A42" t="s">
        <v>456</v>
      </c>
      <c r="B42" t="s">
        <v>401</v>
      </c>
      <c r="C42" s="2">
        <v>11.1</v>
      </c>
      <c r="D42" s="2">
        <v>12.11</v>
      </c>
      <c r="E42" s="8">
        <v>37.340000000000003</v>
      </c>
      <c r="F42" s="2">
        <v>127.93</v>
      </c>
      <c r="G42" t="s">
        <v>391</v>
      </c>
    </row>
    <row r="43" spans="1:7" ht="18.5" x14ac:dyDescent="0.45">
      <c r="A43" t="s">
        <v>457</v>
      </c>
      <c r="B43" t="s">
        <v>404</v>
      </c>
      <c r="C43" s="2">
        <v>2.8</v>
      </c>
      <c r="D43" s="2">
        <v>1.5</v>
      </c>
      <c r="E43" s="8">
        <v>37.28</v>
      </c>
      <c r="F43" s="2">
        <v>127.95</v>
      </c>
      <c r="G43" t="s">
        <v>392</v>
      </c>
    </row>
    <row r="44" spans="1:7" ht="18.5" x14ac:dyDescent="0.45">
      <c r="A44" t="s">
        <v>458</v>
      </c>
      <c r="B44" t="s">
        <v>406</v>
      </c>
      <c r="C44" s="2">
        <v>17.600000000000001</v>
      </c>
      <c r="D44" s="2">
        <v>14.58</v>
      </c>
      <c r="E44" s="8">
        <v>37.47</v>
      </c>
      <c r="F44" s="2">
        <v>127.98</v>
      </c>
      <c r="G44" t="s">
        <v>393</v>
      </c>
    </row>
    <row r="45" spans="1:7" ht="18.5" x14ac:dyDescent="0.45">
      <c r="A45" t="s">
        <v>459</v>
      </c>
      <c r="B45" t="s">
        <v>411</v>
      </c>
      <c r="C45" s="2">
        <v>13.2</v>
      </c>
      <c r="D45" s="2">
        <v>17.89</v>
      </c>
      <c r="E45" s="8">
        <v>37.46</v>
      </c>
      <c r="F45" s="2">
        <v>127.05</v>
      </c>
      <c r="G45" t="s">
        <v>394</v>
      </c>
    </row>
    <row r="46" spans="1:7" ht="18.5" x14ac:dyDescent="0.45">
      <c r="A46" t="s">
        <v>460</v>
      </c>
      <c r="B46" t="s">
        <v>405</v>
      </c>
      <c r="C46" s="2">
        <v>10.3</v>
      </c>
      <c r="D46" s="2">
        <v>4.99</v>
      </c>
      <c r="E46" s="8">
        <v>37.299999999999997</v>
      </c>
      <c r="F46" s="2">
        <v>127.91</v>
      </c>
      <c r="G46" t="s">
        <v>395</v>
      </c>
    </row>
    <row r="47" spans="1:7" ht="18.5" x14ac:dyDescent="0.45">
      <c r="A47" t="s">
        <v>462</v>
      </c>
      <c r="B47" t="s">
        <v>405</v>
      </c>
      <c r="C47" s="2">
        <v>12.5</v>
      </c>
      <c r="D47" s="2">
        <v>15.82</v>
      </c>
      <c r="E47" s="8">
        <v>38.04</v>
      </c>
      <c r="F47" s="2">
        <v>127.81</v>
      </c>
      <c r="G47" t="s">
        <v>396</v>
      </c>
    </row>
    <row r="48" spans="1:7" ht="18.5" x14ac:dyDescent="0.45">
      <c r="A48" t="s">
        <v>461</v>
      </c>
      <c r="B48" t="s">
        <v>405</v>
      </c>
      <c r="C48" s="2">
        <v>10.5</v>
      </c>
      <c r="D48" s="2">
        <v>9.4499999999999993</v>
      </c>
      <c r="E48" s="8">
        <v>37.44</v>
      </c>
      <c r="F48" s="2">
        <v>127.98</v>
      </c>
      <c r="G48" t="s">
        <v>397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2024.2국립환경과학원</vt:lpstr>
      <vt:lpstr>2024.12국립환경과학원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정희성</dc:creator>
  <cp:lastModifiedBy>정희성</cp:lastModifiedBy>
  <dcterms:created xsi:type="dcterms:W3CDTF">2025-12-24T01:23:15Z</dcterms:created>
  <dcterms:modified xsi:type="dcterms:W3CDTF">2025-12-29T06:42:33Z</dcterms:modified>
</cp:coreProperties>
</file>